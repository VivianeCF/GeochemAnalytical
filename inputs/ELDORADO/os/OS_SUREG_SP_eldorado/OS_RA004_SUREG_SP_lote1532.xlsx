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geosol\Eldorado\"/>
    </mc:Choice>
  </mc:AlternateContent>
  <xr:revisionPtr revIDLastSave="0" documentId="13_ncr:1_{C52E3EF6-CF72-4C18-8B38-B782F3720049}" xr6:coauthVersionLast="47" xr6:coauthVersionMax="47" xr10:uidLastSave="{00000000-0000-0000-0000-000000000000}"/>
  <bookViews>
    <workbookView xWindow="-20" yWindow="-10910" windowWidth="19420" windowHeight="10300" activeTab="1" xr2:uid="{00000000-000D-0000-FFFF-FFFF00000000}"/>
  </bookViews>
  <sheets>
    <sheet name="DadosGerais" sheetId="8" r:id="rId1"/>
    <sheet name="DadosAmostras" sheetId="9" r:id="rId2"/>
    <sheet name="Controle" sheetId="7" state="hidden" r:id="rId3"/>
  </sheets>
  <definedNames>
    <definedName name="_xlnm._FilterDatabase" localSheetId="1" hidden="1">DadosAmostras!$BD$90:$BD$106</definedName>
    <definedName name="_xlnm.Print_Area" localSheetId="1">DadosAmostras!$A$1:$CA$110</definedName>
    <definedName name="_xlnm.Print_Area" localSheetId="0">DadosGerais!$A$1:$L$53</definedName>
    <definedName name="TipoAmostra" localSheetId="1">#REF!</definedName>
    <definedName name="TipoAmostra" localSheetId="0">#REF!</definedName>
    <definedName name="TipoAmost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4" i="9" l="1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6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13" i="9"/>
  <c r="L110" i="9" l="1"/>
  <c r="R107" i="9"/>
  <c r="S107" i="9"/>
  <c r="T107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P107" i="9" l="1"/>
  <c r="BT107" i="9" l="1"/>
  <c r="BT108" i="9" s="1"/>
  <c r="BN107" i="9"/>
  <c r="BN108" i="9" s="1"/>
  <c r="BO107" i="9"/>
  <c r="BO108" i="9" s="1"/>
  <c r="BI107" i="9"/>
  <c r="BI108" i="9" s="1"/>
  <c r="BG107" i="9"/>
  <c r="BG108" i="9" s="1"/>
  <c r="BA107" i="9"/>
  <c r="BA108" i="9" s="1"/>
  <c r="AV107" i="9"/>
  <c r="AV108" i="9" s="1"/>
  <c r="AW107" i="9"/>
  <c r="AW108" i="9" s="1"/>
  <c r="AX107" i="9"/>
  <c r="AX108" i="9" s="1"/>
  <c r="AK107" i="9"/>
  <c r="AK108" i="9" s="1"/>
  <c r="AL107" i="9"/>
  <c r="AL108" i="9" s="1"/>
  <c r="AM107" i="9"/>
  <c r="AM108" i="9" s="1"/>
  <c r="AN107" i="9"/>
  <c r="AN108" i="9" s="1"/>
  <c r="AO107" i="9"/>
  <c r="AO108" i="9" s="1"/>
  <c r="AP107" i="9"/>
  <c r="AP108" i="9" s="1"/>
  <c r="AQ107" i="9"/>
  <c r="AQ108" i="9" s="1"/>
  <c r="AR107" i="9"/>
  <c r="AR108" i="9" s="1"/>
  <c r="AS107" i="9"/>
  <c r="AS108" i="9" s="1"/>
  <c r="Z107" i="9"/>
  <c r="Z108" i="9" s="1"/>
  <c r="AA107" i="9"/>
  <c r="AA108" i="9" s="1"/>
  <c r="AB107" i="9"/>
  <c r="AB108" i="9" s="1"/>
  <c r="AC107" i="9"/>
  <c r="AC108" i="9" s="1"/>
  <c r="AD107" i="9"/>
  <c r="AD108" i="9" s="1"/>
  <c r="AE107" i="9"/>
  <c r="AE108" i="9" s="1"/>
  <c r="AF107" i="9"/>
  <c r="AF108" i="9" s="1"/>
  <c r="AG107" i="9"/>
  <c r="AG108" i="9" s="1"/>
  <c r="R108" i="9"/>
  <c r="S108" i="9"/>
  <c r="T108" i="9"/>
  <c r="N107" i="9" l="1"/>
  <c r="N108" i="9" s="1"/>
  <c r="P108" i="9"/>
  <c r="U107" i="9"/>
  <c r="U108" i="9" s="1"/>
  <c r="V107" i="9"/>
  <c r="V108" i="9" s="1"/>
  <c r="W107" i="9"/>
  <c r="W108" i="9" s="1"/>
  <c r="X107" i="9"/>
  <c r="X108" i="9" s="1"/>
  <c r="Y107" i="9"/>
  <c r="Y108" i="9" s="1"/>
  <c r="AH107" i="9"/>
  <c r="AH108" i="9" s="1"/>
  <c r="AI107" i="9"/>
  <c r="AI108" i="9" s="1"/>
  <c r="AJ107" i="9"/>
  <c r="AJ108" i="9" s="1"/>
  <c r="AT107" i="9"/>
  <c r="AT108" i="9" s="1"/>
  <c r="AU107" i="9"/>
  <c r="AU108" i="9" s="1"/>
  <c r="AY107" i="9"/>
  <c r="AY108" i="9" s="1"/>
  <c r="AZ107" i="9"/>
  <c r="AZ108" i="9" s="1"/>
  <c r="BB107" i="9"/>
  <c r="BB108" i="9" s="1"/>
  <c r="BC107" i="9"/>
  <c r="BC108" i="9" s="1"/>
  <c r="BD107" i="9"/>
  <c r="BD108" i="9" s="1"/>
  <c r="BE107" i="9"/>
  <c r="BE108" i="9" s="1"/>
  <c r="BF107" i="9"/>
  <c r="BF108" i="9" s="1"/>
  <c r="BH107" i="9"/>
  <c r="BH108" i="9" s="1"/>
  <c r="BJ107" i="9"/>
  <c r="BJ108" i="9" s="1"/>
  <c r="BK107" i="9"/>
  <c r="BK108" i="9" s="1"/>
  <c r="BL107" i="9"/>
  <c r="BL108" i="9" s="1"/>
  <c r="BM107" i="9"/>
  <c r="BM108" i="9" s="1"/>
  <c r="BP107" i="9"/>
  <c r="BP108" i="9" s="1"/>
  <c r="BQ107" i="9"/>
  <c r="BQ108" i="9" s="1"/>
  <c r="BR107" i="9"/>
  <c r="BR108" i="9" s="1"/>
  <c r="BS107" i="9"/>
  <c r="BS108" i="9" s="1"/>
  <c r="BU107" i="9"/>
  <c r="BU108" i="9" s="1"/>
  <c r="BV107" i="9"/>
  <c r="BV108" i="9" s="1"/>
  <c r="BW107" i="9"/>
  <c r="BW108" i="9" s="1"/>
  <c r="BX107" i="9"/>
  <c r="BX108" i="9" s="1"/>
  <c r="Q84" i="9" l="1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8" i="9" l="1"/>
  <c r="M108" i="9"/>
  <c r="O107" i="9"/>
  <c r="M107" i="9"/>
  <c r="BZ69" i="9"/>
  <c r="BZ85" i="9"/>
  <c r="BZ47" i="9"/>
  <c r="BZ31" i="9"/>
  <c r="BZ102" i="9"/>
  <c r="BZ16" i="9"/>
  <c r="BZ32" i="9"/>
  <c r="BZ81" i="9"/>
  <c r="BZ97" i="9"/>
  <c r="BZ63" i="9"/>
  <c r="BZ78" i="9"/>
  <c r="BZ40" i="9"/>
  <c r="BZ56" i="9"/>
  <c r="BZ94" i="9"/>
  <c r="BZ73" i="9"/>
  <c r="BZ105" i="9"/>
  <c r="BZ93" i="9"/>
  <c r="BZ55" i="9"/>
  <c r="BZ23" i="9"/>
  <c r="BZ35" i="9"/>
  <c r="BZ19" i="9"/>
  <c r="BZ43" i="9"/>
  <c r="BZ70" i="9"/>
  <c r="BZ52" i="9"/>
  <c r="BZ44" i="9"/>
  <c r="BZ28" i="9"/>
  <c r="BZ20" i="9"/>
  <c r="BZ106" i="9"/>
  <c r="BZ90" i="9"/>
  <c r="BZ82" i="9"/>
  <c r="BZ66" i="9"/>
  <c r="BZ46" i="9"/>
  <c r="BZ34" i="9"/>
  <c r="BZ22" i="9"/>
  <c r="BZ96" i="9"/>
  <c r="BZ84" i="9"/>
  <c r="BZ72" i="9"/>
  <c r="BZ45" i="9"/>
  <c r="BZ33" i="9"/>
  <c r="BZ21" i="9"/>
  <c r="BZ95" i="9"/>
  <c r="BZ83" i="9"/>
  <c r="BZ71" i="9"/>
  <c r="BZ54" i="9"/>
  <c r="BZ79" i="9"/>
  <c r="BZ18" i="9"/>
  <c r="BZ92" i="9"/>
  <c r="BZ53" i="9"/>
  <c r="BZ67" i="9"/>
  <c r="BZ51" i="9"/>
  <c r="BZ15" i="9"/>
  <c r="BZ101" i="9"/>
  <c r="BZ89" i="9"/>
  <c r="BZ77" i="9"/>
  <c r="BZ65" i="9"/>
  <c r="BZ30" i="9"/>
  <c r="BZ80" i="9"/>
  <c r="BZ17" i="9"/>
  <c r="BZ103" i="9"/>
  <c r="BZ27" i="9"/>
  <c r="BZ50" i="9"/>
  <c r="BZ38" i="9"/>
  <c r="BZ26" i="9"/>
  <c r="BZ14" i="9"/>
  <c r="BZ100" i="9"/>
  <c r="BZ88" i="9"/>
  <c r="BZ76" i="9"/>
  <c r="BZ64" i="9"/>
  <c r="BZ104" i="9"/>
  <c r="BZ29" i="9"/>
  <c r="BZ91" i="9"/>
  <c r="BZ49" i="9"/>
  <c r="BZ37" i="9"/>
  <c r="BZ25" i="9"/>
  <c r="BZ99" i="9"/>
  <c r="BZ87" i="9"/>
  <c r="BZ75" i="9"/>
  <c r="BZ42" i="9"/>
  <c r="BZ68" i="9"/>
  <c r="BZ41" i="9"/>
  <c r="BZ39" i="9"/>
  <c r="BZ48" i="9"/>
  <c r="BZ36" i="9"/>
  <c r="BZ24" i="9"/>
  <c r="BZ98" i="9"/>
  <c r="BZ86" i="9"/>
  <c r="BZ74" i="9"/>
  <c r="K40" i="8"/>
  <c r="L107" i="9"/>
  <c r="L108" i="9" s="1"/>
  <c r="J19" i="8"/>
  <c r="J18" i="8"/>
  <c r="F19" i="8"/>
  <c r="F18" i="8"/>
  <c r="F17" i="8"/>
  <c r="K41" i="8"/>
  <c r="Q107" i="9" l="1"/>
  <c r="Q108" i="9"/>
  <c r="L109" i="9" s="1"/>
  <c r="BZ1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 Pacheco Cardoso Moreira</author>
  </authors>
  <commentList>
    <comment ref="F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Em caso de ROCHA, preenchimento obrigatório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<sst xmlns="http://schemas.openxmlformats.org/spreadsheetml/2006/main" count="1326" uniqueCount="906">
  <si>
    <t>Nome responsável:</t>
  </si>
  <si>
    <t>Empresa:</t>
  </si>
  <si>
    <t>Endereço:</t>
  </si>
  <si>
    <t xml:space="preserve">CEP: </t>
  </si>
  <si>
    <t>CPF / CNPJ:</t>
  </si>
  <si>
    <t>E-mail:</t>
  </si>
  <si>
    <t>Cidade – UF:</t>
  </si>
  <si>
    <t>Fone / Fax:</t>
  </si>
  <si>
    <t>INSTRUÇÕES ESPECIAIS:</t>
  </si>
  <si>
    <t>RESERVADO P/ USO DO LABORATÓRIO</t>
  </si>
  <si>
    <t>Am. Arquivo</t>
  </si>
  <si>
    <t>Conf.Orçamento</t>
  </si>
  <si>
    <t>Liber.PCP:</t>
  </si>
  <si>
    <t>N° do Certif.</t>
  </si>
  <si>
    <t>Entrada:</t>
  </si>
  <si>
    <t>Preparada</t>
  </si>
  <si>
    <t>Peso:</t>
  </si>
  <si>
    <t>Filial:</t>
  </si>
  <si>
    <t>Coord.EXP.</t>
  </si>
  <si>
    <t>Chegada:                    /               /</t>
  </si>
  <si>
    <t>Result. Enviado:               /              /</t>
  </si>
  <si>
    <t>Número Laboratório</t>
  </si>
  <si>
    <t>ENDEREÇO E DADOS PARA O ENVIO DA FATURA</t>
  </si>
  <si>
    <t>Total de amostras:</t>
  </si>
  <si>
    <t>R$ por método</t>
  </si>
  <si>
    <t>R$ total do lote</t>
  </si>
  <si>
    <t>LONG</t>
  </si>
  <si>
    <t>LAT</t>
  </si>
  <si>
    <t xml:space="preserve">Tipo de amostra  </t>
  </si>
  <si>
    <t>COORDENADAS DA AMOSTRA SOMENTE EM GEOGRÁFICA DECIMAL</t>
  </si>
  <si>
    <t>EDUARDO DUARTE MARQUES</t>
  </si>
  <si>
    <t>FELIPE ROCHA ABREU</t>
  </si>
  <si>
    <t>DALIANE BANDEIRA EBERHARDT</t>
  </si>
  <si>
    <t>MICHELE ZORZETTI PITARELLO</t>
  </si>
  <si>
    <t>SILVANA DE CARVALHO MELO</t>
  </si>
  <si>
    <t>CAROLINE COUTO SANTOS</t>
  </si>
  <si>
    <t>Carbonatos</t>
  </si>
  <si>
    <t>Fosfato</t>
  </si>
  <si>
    <t>Cassiterita</t>
  </si>
  <si>
    <t>Min. Cobre</t>
  </si>
  <si>
    <t>Min. Ferro</t>
  </si>
  <si>
    <t>Min. Manganês</t>
  </si>
  <si>
    <t>Min. Ouro</t>
  </si>
  <si>
    <t>Min. Titânio</t>
  </si>
  <si>
    <t>Min. Zn/Pb</t>
  </si>
  <si>
    <t>Níquel laterítico</t>
  </si>
  <si>
    <t>Terras raras</t>
  </si>
  <si>
    <t>Outros</t>
  </si>
  <si>
    <t>Não se aplica</t>
  </si>
  <si>
    <t>Rc. Máfica</t>
  </si>
  <si>
    <t>Rc. Ultramáfica</t>
  </si>
  <si>
    <t>Rc. Alcalina</t>
  </si>
  <si>
    <t>Rc. Ácida</t>
  </si>
  <si>
    <t>Carvão</t>
  </si>
  <si>
    <t>WILSON LOPES DE OLIVEIRA NETO</t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</si>
  <si>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Nome do requerente das análises:</t>
    </r>
  </si>
  <si>
    <r>
      <rPr>
        <b/>
        <sz val="10"/>
        <color indexed="10"/>
        <rFont val="Arial"/>
        <family val="2"/>
      </rPr>
      <t>*</t>
    </r>
    <r>
      <rPr>
        <b/>
        <sz val="10"/>
        <rFont val="Arial"/>
        <family val="2"/>
      </rPr>
      <t xml:space="preserve"> E-MAIL´S PARA RECEBIMENTO DOS RESULTADOS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</si>
  <si>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Centro de Custo: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</si>
  <si>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Nº Requisição R.A.: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</si>
  <si>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Contrato: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</si>
  <si>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Data :</t>
    </r>
  </si>
  <si>
    <t>05.</t>
  </si>
  <si>
    <t>06.</t>
  </si>
  <si>
    <t>MARCELY PEREIRA NEVES</t>
  </si>
  <si>
    <t>DOUGLAS ALMEIDA SILVEIRA</t>
  </si>
  <si>
    <t>FRANCISCO RUBENS DE SOUSA</t>
  </si>
  <si>
    <t>Rc. Sedimentar</t>
  </si>
  <si>
    <t xml:space="preserve">SERVIÇO GEOLÓGICO DO BRASIL-SGB </t>
  </si>
  <si>
    <t>INFORMAÇÃO DO SOLICITANTE</t>
  </si>
  <si>
    <t>INFORMAÇÃO DA EMPRESA CONTRATADA</t>
  </si>
  <si>
    <t xml:space="preserve">SGS GEOSOL LABORATÓRIOS LTDA.     </t>
  </si>
  <si>
    <t xml:space="preserve">Rod. MG 10 – Km 24,5 – Bairro Angicos </t>
  </si>
  <si>
    <t xml:space="preserve">CNPJ: 02.417.115/0001-01 – Insc. E. 062.113648.00-55   </t>
  </si>
  <si>
    <t xml:space="preserve">Cep: 33.200-000 - Vespasiano - MG      </t>
  </si>
  <si>
    <t>Fone:+55 (31) 3045-0201 - Fax: +55 (31) 3045-0223     E-MAIL: sgsgeosol@sgsgeosol.com.br</t>
  </si>
  <si>
    <t>RESUMO DA SOLICITAÇÃO</t>
  </si>
  <si>
    <t>30140-002</t>
  </si>
  <si>
    <t xml:space="preserve">Número de Campo </t>
  </si>
  <si>
    <t>ALASKITO</t>
  </si>
  <si>
    <t>ÁLCALIGRANITO</t>
  </si>
  <si>
    <t>ÁLCALISIENITO</t>
  </si>
  <si>
    <t>ANDESITO</t>
  </si>
  <si>
    <t>ANFIBOLITO</t>
  </si>
  <si>
    <t>ANIDRITA</t>
  </si>
  <si>
    <t>ANORTOSITO</t>
  </si>
  <si>
    <t>ANDRACITO</t>
  </si>
  <si>
    <t>APLITO</t>
  </si>
  <si>
    <t>ARCÓSEO</t>
  </si>
  <si>
    <t>ARDÓSIA</t>
  </si>
  <si>
    <t>ARENITO</t>
  </si>
  <si>
    <t>ARENITO LÍTICO</t>
  </si>
  <si>
    <t>ARENITO LITO-FELDSPÁTICO</t>
  </si>
  <si>
    <t>ARGILITO</t>
  </si>
  <si>
    <t>AUGENGNAISSE</t>
  </si>
  <si>
    <t>BASALTO</t>
  </si>
  <si>
    <t>BASALTO TOLEÍTICO</t>
  </si>
  <si>
    <t>BAUXITO</t>
  </si>
  <si>
    <t>BRECHA  DE FALHA</t>
  </si>
  <si>
    <t>BRECHA VULCÂNICA</t>
  </si>
  <si>
    <t>CALCARENITO</t>
  </si>
  <si>
    <t>CALCÁRIO</t>
  </si>
  <si>
    <t>CALCÁRIO DOLMÍTICO</t>
  </si>
  <si>
    <t>CALCÁRIO FERRUGINOSO</t>
  </si>
  <si>
    <t>CARBONATITO</t>
  </si>
  <si>
    <t>CARVÃO</t>
  </si>
  <si>
    <t>CASCALHO</t>
  </si>
  <si>
    <t>CATACLASITO</t>
  </si>
  <si>
    <t>CAULIM</t>
  </si>
  <si>
    <t>CHARNOCKITO</t>
  </si>
  <si>
    <t>CHERT</t>
  </si>
  <si>
    <t>CONCREÇÕES FERRUGINOSAS</t>
  </si>
  <si>
    <t>CONCREÇÕES MANGANÍFERAS</t>
  </si>
  <si>
    <t>CONCREÇÕES PIRITOSAS</t>
  </si>
  <si>
    <t>CONCREÇÕES SILICOSAS</t>
  </si>
  <si>
    <t>CONGLOMERADO</t>
  </si>
  <si>
    <t>COQUINA</t>
  </si>
  <si>
    <t>CROMITITO</t>
  </si>
  <si>
    <t>DACITO</t>
  </si>
  <si>
    <t>DIABÁSIO</t>
  </si>
  <si>
    <t>DIATOMITO</t>
  </si>
  <si>
    <t>DIORITO</t>
  </si>
  <si>
    <t>DOLOMITO</t>
  </si>
  <si>
    <t>DUNITO</t>
  </si>
  <si>
    <t>EGLOGITO</t>
  </si>
  <si>
    <t>EMBRECHITO</t>
  </si>
  <si>
    <t>EPIBOLITO</t>
  </si>
  <si>
    <t>EPIDIABÁSIO</t>
  </si>
  <si>
    <t>EPIDIORITO</t>
  </si>
  <si>
    <t>EPIDOTITO</t>
  </si>
  <si>
    <t>ESKARNITO</t>
  </si>
  <si>
    <t>ESPILITO</t>
  </si>
  <si>
    <t>ESSEXITO</t>
  </si>
  <si>
    <t>EVAPORITO</t>
  </si>
  <si>
    <t>FELSITO</t>
  </si>
  <si>
    <t>FENITO</t>
  </si>
  <si>
    <t>FILITO</t>
  </si>
  <si>
    <t>FILONITO</t>
  </si>
  <si>
    <t>FOIALITO</t>
  </si>
  <si>
    <t>FOLHELHO</t>
  </si>
  <si>
    <t>FONOLITO</t>
  </si>
  <si>
    <t>FOSFORITO</t>
  </si>
  <si>
    <t>GIPSO</t>
  </si>
  <si>
    <t>GNAISSE</t>
  </si>
  <si>
    <t>GOSSAN</t>
  </si>
  <si>
    <t>GRANITO</t>
  </si>
  <si>
    <t>GRANODIORITO</t>
  </si>
  <si>
    <t>GRANULITO</t>
  </si>
  <si>
    <t>GRAUVACA</t>
  </si>
  <si>
    <t>GREENSTONE</t>
  </si>
  <si>
    <t>GREISEN</t>
  </si>
  <si>
    <t>HORNBLENDITO</t>
  </si>
  <si>
    <t>HORNFELS</t>
  </si>
  <si>
    <t>IGNIBRITO</t>
  </si>
  <si>
    <t>IJOLITO</t>
  </si>
  <si>
    <t>ITABIRITO</t>
  </si>
  <si>
    <t>JACUPIRANGUITO</t>
  </si>
  <si>
    <t>JASPILITO</t>
  </si>
  <si>
    <t>KERATÓFIRO</t>
  </si>
  <si>
    <t>KIMBERLITO</t>
  </si>
  <si>
    <t>LAMPRÓFIRO</t>
  </si>
  <si>
    <t>LATERITO</t>
  </si>
  <si>
    <t>LATITO</t>
  </si>
  <si>
    <t>LEUCITAFONOLITO</t>
  </si>
  <si>
    <t>LEUCITASIENITO</t>
  </si>
  <si>
    <t>LIMBURGITO</t>
  </si>
  <si>
    <t>LOESSITO</t>
  </si>
  <si>
    <t>MALIGNITO</t>
  </si>
  <si>
    <t>MANGERITO</t>
  </si>
  <si>
    <t>MARGA</t>
  </si>
  <si>
    <t>MÁRMORE</t>
  </si>
  <si>
    <t>MATERIAL DE VEIO</t>
  </si>
  <si>
    <t>MELAFIRO</t>
  </si>
  <si>
    <t>METABASITO</t>
  </si>
  <si>
    <t>METAGABRO</t>
  </si>
  <si>
    <t>METAPERIDOTITO</t>
  </si>
  <si>
    <t>METASEDIMENTO</t>
  </si>
  <si>
    <t>METAVULCÂNICA</t>
  </si>
  <si>
    <t>MIGMATITO</t>
  </si>
  <si>
    <t>MILONITO</t>
  </si>
  <si>
    <t>MONZONITO</t>
  </si>
  <si>
    <t>NEFELINAMONZONITO</t>
  </si>
  <si>
    <t>NEFELINASIENITO</t>
  </si>
  <si>
    <t>NEFELINITO</t>
  </si>
  <si>
    <t>NÓDULOS</t>
  </si>
  <si>
    <t>NORDMARKITO</t>
  </si>
  <si>
    <t>NORITO</t>
  </si>
  <si>
    <t>OLIVINABASALTO</t>
  </si>
  <si>
    <t>OLIVINAGABRO</t>
  </si>
  <si>
    <t>ORTOQUARTZITO</t>
  </si>
  <si>
    <t>ORTOGNAISSE</t>
  </si>
  <si>
    <t>PARAGNAISSE</t>
  </si>
  <si>
    <t>PEGMATITO</t>
  </si>
  <si>
    <t>PELITO</t>
  </si>
  <si>
    <t>PERACIDITO</t>
  </si>
  <si>
    <t>PERIDOTITO</t>
  </si>
  <si>
    <t>PICRITO</t>
  </si>
  <si>
    <t>PIROXENITO</t>
  </si>
  <si>
    <t>QUARTZITO</t>
  </si>
  <si>
    <t>QUARTZO</t>
  </si>
  <si>
    <t>QUARTZO BASALTO</t>
  </si>
  <si>
    <t>QUARTZO DIORITO</t>
  </si>
  <si>
    <t>QUARTZO GABRO</t>
  </si>
  <si>
    <t>QUARTZO LATITO</t>
  </si>
  <si>
    <t>QUARTZO MONZONITO</t>
  </si>
  <si>
    <t>QUARTZO PORFIRITO</t>
  </si>
  <si>
    <t>QUARTZO PÓRFIRO</t>
  </si>
  <si>
    <t>QUARTZO SIENITO</t>
  </si>
  <si>
    <t>RIODACITO</t>
  </si>
  <si>
    <t>RIOLITO</t>
  </si>
  <si>
    <t>ROCHA DE DIQUE</t>
  </si>
  <si>
    <t>ROCHA GRANÍTICA</t>
  </si>
  <si>
    <t>ROCHA  ÍGNEA</t>
  </si>
  <si>
    <t>ROCHA METAMÓRFICA</t>
  </si>
  <si>
    <t>ROCHA PLUTÔNICA</t>
  </si>
  <si>
    <t>ROCHA SEDIMENTAR</t>
  </si>
  <si>
    <t>ROCHA VULCÂNICA</t>
  </si>
  <si>
    <t>SERPENTINITO</t>
  </si>
  <si>
    <t>SHONQUINITO</t>
  </si>
  <si>
    <t>SIENITO</t>
  </si>
  <si>
    <t>SILTITO</t>
  </si>
  <si>
    <t>SODALITA SIENITO</t>
  </si>
  <si>
    <t>TACTITO</t>
  </si>
  <si>
    <t>TAQUILITO</t>
  </si>
  <si>
    <t>TEFRITO</t>
  </si>
  <si>
    <t>TERALITO</t>
  </si>
  <si>
    <t>TESCHENITO</t>
  </si>
  <si>
    <t>TILITO</t>
  </si>
  <si>
    <t>TINQUAÍTO</t>
  </si>
  <si>
    <t>TONALITO</t>
  </si>
  <si>
    <t>TRAQUIANDESITO</t>
  </si>
  <si>
    <t>TRAQUIBASALTO</t>
  </si>
  <si>
    <t>TRAQUITO</t>
  </si>
  <si>
    <t>TRAVERTINO</t>
  </si>
  <si>
    <t>TUFO</t>
  </si>
  <si>
    <t>VIDRO VULCÂNICO</t>
  </si>
  <si>
    <t>XISTO</t>
  </si>
  <si>
    <t>XISTO BETUMINOSO</t>
  </si>
  <si>
    <t>OUTROS</t>
  </si>
  <si>
    <t>OBSERVAÇÕES</t>
  </si>
  <si>
    <t>DIGEOQ</t>
  </si>
  <si>
    <t>GEOQUÍMICO</t>
  </si>
  <si>
    <t>07.</t>
  </si>
  <si>
    <t>08.</t>
  </si>
  <si>
    <t>CHEFE DE PROJETO</t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</si>
  <si>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da Nota de Empenho</t>
    </r>
  </si>
  <si>
    <t> 1603.084</t>
  </si>
  <si>
    <t>Joinville</t>
  </si>
  <si>
    <t>Recuperação Bacia Carbonífera</t>
  </si>
  <si>
    <t> 4106.043</t>
  </si>
  <si>
    <t> 4107.043</t>
  </si>
  <si>
    <t> 4108.043</t>
  </si>
  <si>
    <t> 4109.043</t>
  </si>
  <si>
    <t> 4113.084</t>
  </si>
  <si>
    <t>Geol. e Geod. da Front. Brasil-Guiana</t>
  </si>
  <si>
    <t> 4116.084</t>
  </si>
  <si>
    <t>NF Contendas-Macajuba</t>
  </si>
  <si>
    <t> 4118.550</t>
  </si>
  <si>
    <t>NF Escudo Sul-Riograndense</t>
  </si>
  <si>
    <t> 4119.087</t>
  </si>
  <si>
    <t>Britas NE Pará</t>
  </si>
  <si>
    <t> 4120.084</t>
  </si>
  <si>
    <t>Geologia do Cráton Amazônico</t>
  </si>
  <si>
    <t> 4183.087</t>
  </si>
  <si>
    <t> 4201.084</t>
  </si>
  <si>
    <t>Mapa Geológico América do Sul</t>
  </si>
  <si>
    <t> 4203.084</t>
  </si>
  <si>
    <t>Lineamento Azimute 125</t>
  </si>
  <si>
    <t> 4307.370</t>
  </si>
  <si>
    <t>NF Granjeiro - Cococi</t>
  </si>
  <si>
    <t> 4308.260</t>
  </si>
  <si>
    <t>NF Sudeste de Rondônia</t>
  </si>
  <si>
    <t> 4309.300</t>
  </si>
  <si>
    <t>NF Rio Maria</t>
  </si>
  <si>
    <t> 4311.550</t>
  </si>
  <si>
    <t>Sudeste do RS</t>
  </si>
  <si>
    <t> 4313.350</t>
  </si>
  <si>
    <t>NF Rio Capibaribe</t>
  </si>
  <si>
    <t> 4314.350</t>
  </si>
  <si>
    <t>NF Alto Moxotó, PE</t>
  </si>
  <si>
    <t> 4316.400</t>
  </si>
  <si>
    <t>NF Chorrochó - Macururé</t>
  </si>
  <si>
    <t> 4318.650</t>
  </si>
  <si>
    <t>NF Oeste de Goiás</t>
  </si>
  <si>
    <t> 4320.087</t>
  </si>
  <si>
    <t>ARIM QF Central</t>
  </si>
  <si>
    <t> 4321.087</t>
  </si>
  <si>
    <t>ARIM Seridó</t>
  </si>
  <si>
    <t> 4322.087</t>
  </si>
  <si>
    <t>ARIM Alta Floresta</t>
  </si>
  <si>
    <t> 4326.087</t>
  </si>
  <si>
    <t>ARIM QF SVS</t>
  </si>
  <si>
    <t> 4328.087</t>
  </si>
  <si>
    <t>ARIM Borda NW CSF</t>
  </si>
  <si>
    <t> 4329.087</t>
  </si>
  <si>
    <t>ARIM Serra de Jacobina</t>
  </si>
  <si>
    <t> 4330.087</t>
  </si>
  <si>
    <t>ARIM Batólito de Pelotas</t>
  </si>
  <si>
    <t> 4332.087</t>
  </si>
  <si>
    <t>ARIM Remanso-Sobradinho</t>
  </si>
  <si>
    <t> 4334.087</t>
  </si>
  <si>
    <t>ARIM Carajás</t>
  </si>
  <si>
    <t> 4335.087</t>
  </si>
  <si>
    <t>ARIM Tapajós</t>
  </si>
  <si>
    <t> 4337.087</t>
  </si>
  <si>
    <t>ARIM Central Faixa Brasília</t>
  </si>
  <si>
    <t> 4338.087</t>
  </si>
  <si>
    <t>ARIM Ametista Ágata - RS</t>
  </si>
  <si>
    <t> 4340.084</t>
  </si>
  <si>
    <t>PROERG</t>
  </si>
  <si>
    <t> 4343.084</t>
  </si>
  <si>
    <t> 4345.600</t>
  </si>
  <si>
    <t>Argilas dos Rios Doce e Mucuri</t>
  </si>
  <si>
    <t> 4348.087</t>
  </si>
  <si>
    <t>Fosfato Brasil III</t>
  </si>
  <si>
    <t> 4349.087</t>
  </si>
  <si>
    <t>Projeto Potássio</t>
  </si>
  <si>
    <t> 4350.087</t>
  </si>
  <si>
    <t>Patrimônio Mineral</t>
  </si>
  <si>
    <t> 4357.087</t>
  </si>
  <si>
    <t> 4358.087</t>
  </si>
  <si>
    <t>ARIM Aripuanã</t>
  </si>
  <si>
    <t> 4359.087</t>
  </si>
  <si>
    <t>ARIM Sudeste do Amazonas</t>
  </si>
  <si>
    <t> 4361.087</t>
  </si>
  <si>
    <t>Potencialidade de RO-RN</t>
  </si>
  <si>
    <t> 4366.087</t>
  </si>
  <si>
    <t>IMCC Belo Horizonte (MG)</t>
  </si>
  <si>
    <t> 4375.087</t>
  </si>
  <si>
    <t>ARIM Oeste de Pernambuco</t>
  </si>
  <si>
    <t> 4377.084</t>
  </si>
  <si>
    <t> 4378.084</t>
  </si>
  <si>
    <t> 4379.084</t>
  </si>
  <si>
    <t> 4382.087</t>
  </si>
  <si>
    <t>Terras Indígenas do NW do AM</t>
  </si>
  <si>
    <t> 4383.087</t>
  </si>
  <si>
    <t>ARIM QF Noroeste</t>
  </si>
  <si>
    <t> 4388.087</t>
  </si>
  <si>
    <t>IMCC Rio Grande e Pelotas (RS)</t>
  </si>
  <si>
    <t> 4389.087</t>
  </si>
  <si>
    <t>IMCC Maceió (AL)</t>
  </si>
  <si>
    <t> 4390.087</t>
  </si>
  <si>
    <t>ARIM Borda NW CSF (S.R.Nonato)</t>
  </si>
  <si>
    <t> 4391.087</t>
  </si>
  <si>
    <t>Atlas Carajás</t>
  </si>
  <si>
    <t> 4392.087</t>
  </si>
  <si>
    <t>Lítio Brasil - Fase II</t>
  </si>
  <si>
    <t> 4396.087</t>
  </si>
  <si>
    <t> 4397.084</t>
  </si>
  <si>
    <t>NF NW de Rondônia</t>
  </si>
  <si>
    <t> 4398.084</t>
  </si>
  <si>
    <t>Regolito Laterítico da Bahia</t>
  </si>
  <si>
    <t> 4399.084</t>
  </si>
  <si>
    <t>Levant. Geoquímico da Folha Piatã</t>
  </si>
  <si>
    <t> 4400.084</t>
  </si>
  <si>
    <t>Mapa do Paraná</t>
  </si>
  <si>
    <t> 4401.084</t>
  </si>
  <si>
    <t>MAPA Geológico do Ceará</t>
  </si>
  <si>
    <t> 4402.084</t>
  </si>
  <si>
    <t>Mapa Geotectônico da Bahia</t>
  </si>
  <si>
    <t> 4403.087</t>
  </si>
  <si>
    <t>IMCC de Palmas</t>
  </si>
  <si>
    <t> 4419.084</t>
  </si>
  <si>
    <t>Assinatura de TTG Arqueanos</t>
  </si>
  <si>
    <t> 4422.087</t>
  </si>
  <si>
    <t>Rochas Ornamentais da Bahia</t>
  </si>
  <si>
    <t> 4423.087</t>
  </si>
  <si>
    <t>Rochas Ornamentais do Espírito Santo</t>
  </si>
  <si>
    <t> 4424.087</t>
  </si>
  <si>
    <t>CPRM-AMIRA Project</t>
  </si>
  <si>
    <t> 4431.087</t>
  </si>
  <si>
    <t>ARIM NW do Ceará</t>
  </si>
  <si>
    <t> 4432.084</t>
  </si>
  <si>
    <t>Lineamento 125</t>
  </si>
  <si>
    <t> 4433.084</t>
  </si>
  <si>
    <t>Cocalhinho- Novo Mundo</t>
  </si>
  <si>
    <t> 4434.087</t>
  </si>
  <si>
    <t>Bacia do Paraná</t>
  </si>
  <si>
    <t> 4435.084</t>
  </si>
  <si>
    <t>Geofísica em Bordas de Bacias Brasileiras</t>
  </si>
  <si>
    <t> 4436.084</t>
  </si>
  <si>
    <t>Mapa Geologico do Tocantins</t>
  </si>
  <si>
    <t> 4437.084</t>
  </si>
  <si>
    <t>Mapa Geologico do Amapá</t>
  </si>
  <si>
    <t> 4438.084</t>
  </si>
  <si>
    <t> 4439.087</t>
  </si>
  <si>
    <t>Quadrilátero Ferrífero</t>
  </si>
  <si>
    <t> 4440.084</t>
  </si>
  <si>
    <t>Carajás</t>
  </si>
  <si>
    <t> 4441.084</t>
  </si>
  <si>
    <t xml:space="preserve">Província da Borborema </t>
  </si>
  <si>
    <t> 4442.084</t>
  </si>
  <si>
    <t>Porto Novo-Bom Jesus da Lapa</t>
  </si>
  <si>
    <t> 4443.087</t>
  </si>
  <si>
    <t>Geocimical Baselines Brazil</t>
  </si>
  <si>
    <t> 4444.087</t>
  </si>
  <si>
    <t>Agrominerais Brasil</t>
  </si>
  <si>
    <t> 4445.087</t>
  </si>
  <si>
    <t>Projeto Cobalto</t>
  </si>
  <si>
    <t> 4446.087</t>
  </si>
  <si>
    <t>Faixa Guariba-Roosevelt</t>
  </si>
  <si>
    <t> 4447.087</t>
  </si>
  <si>
    <t> 4448.087</t>
  </si>
  <si>
    <t> 4449.087</t>
  </si>
  <si>
    <t>Rochas Ornamentais Paraíba</t>
  </si>
  <si>
    <t> 4450.087</t>
  </si>
  <si>
    <t>Grafita Brasil</t>
  </si>
  <si>
    <t> 4451.087</t>
  </si>
  <si>
    <t>Bacias Ediacaranas</t>
  </si>
  <si>
    <t> 4452.087</t>
  </si>
  <si>
    <t>Rochas Ornamentais do Ceará</t>
  </si>
  <si>
    <t> 4453.084</t>
  </si>
  <si>
    <t> 4454.087</t>
  </si>
  <si>
    <t>IMCC João Pessoa</t>
  </si>
  <si>
    <t> 4455.087</t>
  </si>
  <si>
    <t>Agrominerais Bacia Paraná</t>
  </si>
  <si>
    <t> 4456.087</t>
  </si>
  <si>
    <t>Fosfato do RS</t>
  </si>
  <si>
    <t> 4457.087</t>
  </si>
  <si>
    <t>ARIM Vale do Ribeira</t>
  </si>
  <si>
    <t> 4458.087</t>
  </si>
  <si>
    <t>IMCC São Paulo</t>
  </si>
  <si>
    <t> 4459.087</t>
  </si>
  <si>
    <t>IMCC Criciúma e Tubarão</t>
  </si>
  <si>
    <t> 4460.087</t>
  </si>
  <si>
    <t>Peixoto - União do Norte</t>
  </si>
  <si>
    <t> 4461.087</t>
  </si>
  <si>
    <t>Filadélfia-MT</t>
  </si>
  <si>
    <t> 4462.084</t>
  </si>
  <si>
    <t>INT Geof Pianca-Brigida-Pajeu</t>
  </si>
  <si>
    <t>ARIM Nova Brasilândia</t>
  </si>
  <si>
    <t>ARIM PER</t>
  </si>
  <si>
    <t>ANTONIO CHARLES DA S. OLIVEIRA</t>
  </si>
  <si>
    <t>CARLOS EDUARDO S. OLIVEIRA</t>
  </si>
  <si>
    <t>EDNEY SMITH DE MORAES PALHETA</t>
  </si>
  <si>
    <t>BRUNO DE OLIVEIRA CALADO</t>
  </si>
  <si>
    <t>VIVIANE CARILLO FERRARI</t>
  </si>
  <si>
    <t>GEREMI/CHEFE DE DIVISÃO</t>
  </si>
  <si>
    <t>PREPARAÇÃO</t>
  </si>
  <si>
    <t>50770-011</t>
  </si>
  <si>
    <t>66095-110</t>
  </si>
  <si>
    <t>01304-010</t>
  </si>
  <si>
    <t>76801-581</t>
  </si>
  <si>
    <t>64001-570</t>
  </si>
  <si>
    <t>41213-000</t>
  </si>
  <si>
    <t>74170-110</t>
  </si>
  <si>
    <t>90840-030</t>
  </si>
  <si>
    <t>34800-000</t>
  </si>
  <si>
    <t>22290-255</t>
  </si>
  <si>
    <t>69060-000</t>
  </si>
  <si>
    <t>70040-904</t>
  </si>
  <si>
    <t>CEP</t>
  </si>
  <si>
    <t>Endereço</t>
  </si>
  <si>
    <t>81-3316 1400</t>
  </si>
  <si>
    <t>91-3182 1300</t>
  </si>
  <si>
    <t>11-3775 5101</t>
  </si>
  <si>
    <t>86-3222 4153</t>
  </si>
  <si>
    <t>62-3240 1400</t>
  </si>
  <si>
    <t>71-3230 0025</t>
  </si>
  <si>
    <t>69-3901 3700</t>
  </si>
  <si>
    <t>92-2126 0301</t>
  </si>
  <si>
    <t>31-3651 2031</t>
  </si>
  <si>
    <t>51-3406 7300</t>
  </si>
  <si>
    <t>21-3986-0788</t>
  </si>
  <si>
    <t>31-3878 0307</t>
  </si>
  <si>
    <t>RECIFE / PE</t>
  </si>
  <si>
    <t>BELÉM / PA</t>
  </si>
  <si>
    <t>FORTALEZA / CE</t>
  </si>
  <si>
    <t>PORTO ALEGRE / RS</t>
  </si>
  <si>
    <t>SALVADOR / BA</t>
  </si>
  <si>
    <t>RIO DE JANEIRO / RJ</t>
  </si>
  <si>
    <t>GOIÂNIA / GO</t>
  </si>
  <si>
    <t>BELO HORIZONTE / MG</t>
  </si>
  <si>
    <t>CAETÉ / MG</t>
  </si>
  <si>
    <t>TERESINA / PI</t>
  </si>
  <si>
    <t>SÃO PAULO / SP</t>
  </si>
  <si>
    <t>MANAUS / AM</t>
  </si>
  <si>
    <t>PORTO VELHO / RO</t>
  </si>
  <si>
    <t>BRASÍLIA/DF</t>
  </si>
  <si>
    <t>Fone / Fax</t>
  </si>
  <si>
    <t>Cidade – UF</t>
  </si>
  <si>
    <t>Avenida Sul, 2291  Bairro Afogados</t>
  </si>
  <si>
    <t>Avenida Doutor Freitas, 3645  Bairro do Marco</t>
  </si>
  <si>
    <t>Avenida André Araújo, 2160   Bairro Aleixo</t>
  </si>
  <si>
    <t>Rua Banco da Província, 105   Bairro Santa Teresa</t>
  </si>
  <si>
    <t>Avenida Ulysses Guimarães, 2862   Bairro Sussuarana/Centro Administrativo da Bahia</t>
  </si>
  <si>
    <t>Avenida Pasteur, 404   Bairro Urca</t>
  </si>
  <si>
    <t>Rua 148, 485   Setor Marista</t>
  </si>
  <si>
    <t>Avenida Brasil, 1731   Bairro Funcionários</t>
  </si>
  <si>
    <t>Rua Goiás, 312  Sul</t>
  </si>
  <si>
    <t>Rua Costa, 55   Bairro Cerqueira César</t>
  </si>
  <si>
    <t>Avenida Lauro Sodré, 2561   Bairro São Sebastião</t>
  </si>
  <si>
    <t>Avenida João Pinheiro, 140  Centro</t>
  </si>
  <si>
    <t>Setor Bancário Norte - SBN, Quadra 02, Asa Norte, Bloco H - Edifício Central Brasília</t>
  </si>
  <si>
    <t>JONATHAN NEREU LISBOA ROJAS</t>
  </si>
  <si>
    <t>PRPGA</t>
  </si>
  <si>
    <t>PHY04V</t>
  </si>
  <si>
    <t>DRY10</t>
  </si>
  <si>
    <t>MÉTODOS DE ANÁLISE</t>
  </si>
  <si>
    <t>Lotação</t>
  </si>
  <si>
    <t>SUREG MANAUS</t>
  </si>
  <si>
    <t>RESIDÊNCIA FORTALEZA</t>
  </si>
  <si>
    <t>RESIDÊNCIA PORTO VELHO</t>
  </si>
  <si>
    <t>SUREG SALVADOR</t>
  </si>
  <si>
    <t>SUREG BELÉM</t>
  </si>
  <si>
    <t>RESIDÊNCIA TERESINA</t>
  </si>
  <si>
    <t>SUREG GOIÂNIA</t>
  </si>
  <si>
    <t>SUREG BELO HORIZONTE</t>
  </si>
  <si>
    <t>SUREG RECIFE</t>
  </si>
  <si>
    <t>SUREG SÃO PAULO</t>
  </si>
  <si>
    <t>LITOTECA CAETÉ</t>
  </si>
  <si>
    <t>PRP102_E-A (R$/amostra)</t>
  </si>
  <si>
    <t>PRP102_E-B (R$/kg)</t>
  </si>
  <si>
    <t>PRP102_Y-A (R$/amostra)</t>
  </si>
  <si>
    <t>LOG03</t>
  </si>
  <si>
    <t>DST-1</t>
  </si>
  <si>
    <t>Basalt BR</t>
  </si>
  <si>
    <t>BCR-1</t>
  </si>
  <si>
    <t>BHVO-1</t>
  </si>
  <si>
    <t>AVG-1</t>
  </si>
  <si>
    <t>STM-1</t>
  </si>
  <si>
    <t>Granite GS-N</t>
  </si>
  <si>
    <t>Granite GH</t>
  </si>
  <si>
    <t>Material de referência utilizado pelo laboratório p/ XRF</t>
  </si>
  <si>
    <r>
      <rPr>
        <sz val="12"/>
        <color indexed="10"/>
        <rFont val="Arial"/>
        <family val="2"/>
      </rPr>
      <t xml:space="preserve">* </t>
    </r>
    <r>
      <rPr>
        <sz val="10"/>
        <rFont val="Arial"/>
        <family val="2"/>
      </rPr>
      <t>Assinatura do DIGEOQ:</t>
    </r>
  </si>
  <si>
    <t>Número de Lote</t>
  </si>
  <si>
    <t>01.</t>
  </si>
  <si>
    <t>02.</t>
  </si>
  <si>
    <t>03.</t>
  </si>
  <si>
    <t>04.</t>
  </si>
  <si>
    <t>Calcários da Bahia</t>
  </si>
  <si>
    <t>Plataforma Rasa do Brasil</t>
  </si>
  <si>
    <t>Procordilheira</t>
  </si>
  <si>
    <t>Fosforitas Marinhas</t>
  </si>
  <si>
    <t>Jequirinhonha</t>
  </si>
  <si>
    <t xml:space="preserve"> Matriz</t>
  </si>
  <si>
    <t>Peso           da            amostra (g)</t>
  </si>
  <si>
    <t>Para amostra de rocha indicar o litotipo                 (nome de campo)</t>
  </si>
  <si>
    <t>Número de amostras por método</t>
  </si>
  <si>
    <t>Número total de amostras no lote</t>
  </si>
  <si>
    <t>ICP05V</t>
  </si>
  <si>
    <t>CCR</t>
  </si>
  <si>
    <t>ICM90A</t>
  </si>
  <si>
    <t>ICM42Q</t>
  </si>
  <si>
    <t>SUREG PORTO ALEGRE</t>
  </si>
  <si>
    <t>(81)3316-1420/(21)2546-0475</t>
  </si>
  <si>
    <t>00.091.652/0006-53</t>
  </si>
  <si>
    <r>
      <rPr>
        <sz val="10"/>
        <color rgb="FFFF0000"/>
        <rFont val="Arial"/>
        <family val="2"/>
      </rPr>
      <t xml:space="preserve"> *</t>
    </r>
    <r>
      <rPr>
        <sz val="10"/>
        <rFont val="Arial"/>
        <family val="2"/>
      </rPr>
      <t xml:space="preserve"> Unidade Regional:</t>
    </r>
  </si>
  <si>
    <t>PESQUISADORES DIGEOQ</t>
  </si>
  <si>
    <t>MATRIZ</t>
  </si>
  <si>
    <t>CENTRO DE CUSTO</t>
  </si>
  <si>
    <t>NOME DO PROJETO</t>
  </si>
  <si>
    <t>LITOTIPO</t>
  </si>
  <si>
    <t>ESCRITÓRIO RIO DE JANEIRO</t>
  </si>
  <si>
    <t>SEDE BRASÍLIA</t>
  </si>
  <si>
    <t>UNIDADES REGIONAIS</t>
  </si>
  <si>
    <t>RESPONSÁVEL</t>
  </si>
  <si>
    <t>E-MAIL</t>
  </si>
  <si>
    <t>Saprolito</t>
  </si>
  <si>
    <t>Rocha</t>
  </si>
  <si>
    <t>Solo</t>
  </si>
  <si>
    <t>Sed.Corrente</t>
  </si>
  <si>
    <t>CB aluvião</t>
  </si>
  <si>
    <t>CB solo</t>
  </si>
  <si>
    <t>CB rocha</t>
  </si>
  <si>
    <t>Testemunho rocha</t>
  </si>
  <si>
    <t>Testemunho saprolito</t>
  </si>
  <si>
    <t>TIPO DE AMOSTRA</t>
  </si>
  <si>
    <t>MRC</t>
  </si>
  <si>
    <t>Unidae Regional</t>
  </si>
  <si>
    <t>DEGEO-DIGEOM</t>
  </si>
  <si>
    <t>DEGEO-DIGEOD</t>
  </si>
  <si>
    <t>DEGEO-DISEGE</t>
  </si>
  <si>
    <t>DEGEO-DIGEOB</t>
  </si>
  <si>
    <t>DEREM-DIGECO</t>
  </si>
  <si>
    <t>DEREM-DIPEME</t>
  </si>
  <si>
    <t>DEREM-DIMINI</t>
  </si>
  <si>
    <t>DEREM-DIEMGE</t>
  </si>
  <si>
    <t>JOSENEUSA BRILHANTE RODRIGUES</t>
  </si>
  <si>
    <t>IONÁ CUNHA</t>
  </si>
  <si>
    <t>MICHEL MARQUES GODOY</t>
  </si>
  <si>
    <t>61-2108 8400</t>
  </si>
  <si>
    <r>
      <rPr>
        <sz val="10"/>
        <color rgb="FFFF0000"/>
        <rFont val="Arial"/>
        <family val="2"/>
      </rPr>
      <t xml:space="preserve">* </t>
    </r>
    <r>
      <rPr>
        <sz val="10"/>
        <rFont val="Arial"/>
        <family val="2"/>
      </rPr>
      <t>Projeto :</t>
    </r>
  </si>
  <si>
    <t>CCSS I</t>
  </si>
  <si>
    <t>CCSS II</t>
  </si>
  <si>
    <t>XRF79C_13</t>
  </si>
  <si>
    <t>XRF83B</t>
  </si>
  <si>
    <t>ICM14B_10</t>
  </si>
  <si>
    <t>CSA20V</t>
  </si>
  <si>
    <t>CSA17V_C</t>
  </si>
  <si>
    <t>CSA03V</t>
  </si>
  <si>
    <t>CSA02V</t>
  </si>
  <si>
    <t>CSA05V</t>
  </si>
  <si>
    <t>CSA17V_S</t>
  </si>
  <si>
    <t>ISE03A</t>
  </si>
  <si>
    <t>XRF75V</t>
  </si>
  <si>
    <t>CLA80C</t>
  </si>
  <si>
    <t>FAI515</t>
  </si>
  <si>
    <t>Material Carbonoso</t>
  </si>
  <si>
    <t>CLEIDE REGINA MOURA DA SILVA</t>
  </si>
  <si>
    <t>Rondônia Juruena</t>
  </si>
  <si>
    <t>Mapa Estadual de Roraima</t>
  </si>
  <si>
    <t>Rochas e Materiais industriais</t>
  </si>
  <si>
    <t>Silicosa</t>
  </si>
  <si>
    <t>Sulfetada</t>
  </si>
  <si>
    <t>Aval. do Pot. de Urânio no Brasil – área da Prov. Lagoa Real</t>
  </si>
  <si>
    <t>EDGAR ROMEO FIGUEIREDO IZA</t>
  </si>
  <si>
    <t>Bloco Gavião (TTG e GB) - DEGEO</t>
  </si>
  <si>
    <t>Bloco Gavião (TTG e GB) - DEREM</t>
  </si>
  <si>
    <t>PATRICK ARAÚJO DOS SANTOS</t>
  </si>
  <si>
    <t>XRF72NL</t>
  </si>
  <si>
    <t>XRF72BX</t>
  </si>
  <si>
    <t>Geologia e Pot. Min. SW do Amazonas: Faixa Roosevelt-Guariba</t>
  </si>
  <si>
    <t>Geologia e Pot. Min. SW do Amazonas: Sucunduri</t>
  </si>
  <si>
    <t>Geologia e Potencial Mineral do Norte de Roraima</t>
  </si>
  <si>
    <t>Geologia e Pot. Min. do SW do Amazonas: Ação DEREM</t>
  </si>
  <si>
    <t>ICM90A_B</t>
  </si>
  <si>
    <t>081/2023</t>
  </si>
  <si>
    <t xml:space="preserve"> PRP102_Y-B (R$/kg)</t>
  </si>
  <si>
    <t xml:space="preserve"> PREPS80P-A (R$/amostra)</t>
  </si>
  <si>
    <t xml:space="preserve"> PREPS80P-B (R$/kg)</t>
  </si>
  <si>
    <t>DUP_Brita</t>
  </si>
  <si>
    <t>DUP_Polpa</t>
  </si>
  <si>
    <t xml:space="preserve"> PRP250 </t>
  </si>
  <si>
    <t>CCR_NL</t>
  </si>
  <si>
    <t>CCR_GR</t>
  </si>
  <si>
    <t>CCR_Mn</t>
  </si>
  <si>
    <t>CCR_Fe</t>
  </si>
  <si>
    <t>CCR_PO</t>
  </si>
  <si>
    <t>CCR_PTR</t>
  </si>
  <si>
    <t>CCR_LS</t>
  </si>
  <si>
    <t>CCR_PL</t>
  </si>
  <si>
    <t>XRF72FE</t>
  </si>
  <si>
    <t>XRF72LS</t>
  </si>
  <si>
    <t>XRF72PO</t>
  </si>
  <si>
    <t>XRF72PTR</t>
  </si>
  <si>
    <t>XRF82MN</t>
  </si>
  <si>
    <t>XRF82GR</t>
  </si>
  <si>
    <t>XRF76R</t>
  </si>
  <si>
    <t>XRF80B</t>
  </si>
  <si>
    <t>XRF82CR</t>
  </si>
  <si>
    <t>IMS95A</t>
  </si>
  <si>
    <t>ICP95A/IMS95A</t>
  </si>
  <si>
    <t>ICP95A</t>
  </si>
  <si>
    <t>IMS95RS</t>
  </si>
  <si>
    <t>ICM40B</t>
  </si>
  <si>
    <t>GC_CSA17V_C</t>
  </si>
  <si>
    <t>GC_CSA17V_S</t>
  </si>
  <si>
    <t>CLA70C</t>
  </si>
  <si>
    <t>ICP40B</t>
  </si>
  <si>
    <t>ICP40B_S</t>
  </si>
  <si>
    <t>ICP90A</t>
  </si>
  <si>
    <t>FAA313 / FAA323</t>
  </si>
  <si>
    <t xml:space="preserve">ORDEM DE SERVIÇO PARA EXECUÇÃO CONTRATUAL - CONTRATO SGB/CPRM X SGS GEOSOL </t>
  </si>
  <si>
    <t>Av. Pasteur, nº 404</t>
  </si>
  <si>
    <t xml:space="preserve"> Cep: 22.290-255 - URCA - RIO DE JANEIRO - RJ</t>
  </si>
  <si>
    <t>CNPJ: 00.091.652/0002-60</t>
  </si>
  <si>
    <t>Fone:+55 (21) 2295-0032</t>
  </si>
  <si>
    <t xml:space="preserve">Levantamentos Geoquímicos </t>
  </si>
  <si>
    <t>JONATAS DE SALES MACEDO CARNEIRO</t>
  </si>
  <si>
    <t>jonatas.carneiro@sgb.gov.br</t>
  </si>
  <si>
    <t>silvana.melo@sgb.gov.br</t>
  </si>
  <si>
    <t>bruno.calado@sgb.gov.br</t>
  </si>
  <si>
    <t>caroline.santos@sgb.gov.br</t>
  </si>
  <si>
    <t>daliane.eberhardt@sgb.gov.br</t>
  </si>
  <si>
    <t>douglas.silveira@sgb.gov.br</t>
  </si>
  <si>
    <t>eduardo.marques@sgb.gov.br</t>
  </si>
  <si>
    <t>felipe.abreu@sgb.gov.br</t>
  </si>
  <si>
    <t>marcely.neves@sgb.gov.br</t>
  </si>
  <si>
    <t>michele.pitarello@sgb.gov.br</t>
  </si>
  <si>
    <t>viviane.ferrari@sgb.gov.br</t>
  </si>
  <si>
    <t>wilson.oliveira@sgb.gov.br</t>
  </si>
  <si>
    <t>charles.oliveira@sgb.gov.br</t>
  </si>
  <si>
    <t>carlos.oliveira@sgb.gov.br</t>
  </si>
  <si>
    <t>cleide.silva@sgb.gov.br</t>
  </si>
  <si>
    <t>edney.palheta@sgb.gov.br</t>
  </si>
  <si>
    <t>GUILHERME FERREIRA DA SILVA</t>
  </si>
  <si>
    <t>guilherme.ferreira@sgb.gov.br</t>
  </si>
  <si>
    <t>francisco.sousa@sgb.gov.br</t>
  </si>
  <si>
    <t>iona.cunha@sgb.gov.br</t>
  </si>
  <si>
    <t>jonathan.rojas@sgb.gov.br</t>
  </si>
  <si>
    <t>joseneusa.rodrigues@sgb.gov.br</t>
  </si>
  <si>
    <t>michel.godoy@sgb.gov.br</t>
  </si>
  <si>
    <t>ruben.sardou@sgb.gov.br</t>
  </si>
  <si>
    <t>edgar.iza@sgb.gov.br</t>
  </si>
  <si>
    <t>patrick.santos@sgb.gov.br</t>
  </si>
  <si>
    <t>SGB-CPRM - SERVIÇO GEOLÓGICO DO BRASIL - RESIDÊNCIA FORTALEZA</t>
  </si>
  <si>
    <t>SGB-CPRM - SERVIÇO GEOLÓGICO DO BRASIL - RESIDÊNCIA PORTO VELHO</t>
  </si>
  <si>
    <t>SGB-CPRM - SERVIÇO GEOLÓGICO DO BRASIL - RESIDÊNCIA TERESINA</t>
  </si>
  <si>
    <t>SGB-CPRM - SERVIÇO GEOLÓGICO DO BRASIL - SEDE BRASÍLIA</t>
  </si>
  <si>
    <t>SGB-CPRM - SERVIÇO GEOLÓGICO DO BRASIL - SUREG BELO HORIZONTE</t>
  </si>
  <si>
    <t>SGB-CPRM - SERVIÇO GEOLÓGICO DO BRASIL - SUREG GOIÂNIA</t>
  </si>
  <si>
    <t>SGB-CPRM - SERVIÇO GEOLÓGICO DO BRASIL - SUREG MANAUS</t>
  </si>
  <si>
    <t>SGB-CPRM - SERVIÇO GEOLÓGICO DO BRASIL - SUREG PORTO ALEGRE</t>
  </si>
  <si>
    <t>SGB-CPRM - SERVIÇO GEOLÓGICO DO BRASIL - SUREG RECIFE</t>
  </si>
  <si>
    <t>SGB-CPRM - SERVIÇO GEOLÓGICO DO BRASIL - SUREG SALVADOR</t>
  </si>
  <si>
    <t>SGB-CPRM - SERVIÇO GEOLÓGICO DO BRASIL - SUREG SÃO PAULO</t>
  </si>
  <si>
    <t>SGB-CPRM - SERVIÇO GEOLÓGICO DO BRASIL - SUREG BELÉM</t>
  </si>
  <si>
    <t>SGB-CPRM - SERVIÇO GEOLÓGICO DO BRASIL - LITOTECA CAETÉ</t>
  </si>
  <si>
    <t xml:space="preserve">digeoqlab@sgb.gov.br </t>
  </si>
  <si>
    <t>SGB - CPRM - SERVIÇO GEOLÓGICO DO BRASIL</t>
  </si>
  <si>
    <t>digeoqlab@sgb.gov.br</t>
  </si>
  <si>
    <t> 4546.084</t>
  </si>
  <si>
    <t>Geologia e potencial Mineral do Distrito Almas-Dianópolis-TO</t>
  </si>
  <si>
    <t>60060-000</t>
  </si>
  <si>
    <t>Geologia e Potencial Mineral da Borda Oriental da Bacia do Parnaíba</t>
  </si>
  <si>
    <t>ICP90A_S</t>
  </si>
  <si>
    <t>SETOR MARISTA</t>
  </si>
  <si>
    <t>GOIANIA/GO</t>
  </si>
  <si>
    <t>PALOMA ROCHA</t>
  </si>
  <si>
    <t>paloma.rocha@sgb.gov.br</t>
  </si>
  <si>
    <t>REGINA CÉLIA DOS SANTOS SILVA</t>
  </si>
  <si>
    <t>regina.santos@sgb.gov.br</t>
  </si>
  <si>
    <t>VALTER RODRIGUES SANTOS SOBRINHO</t>
  </si>
  <si>
    <t>valter.sobrinho@sbg.gov.br</t>
  </si>
  <si>
    <t>julio.lombello@sgb.gov.br</t>
  </si>
  <si>
    <t>JULIO CESAR LOMBELLO</t>
  </si>
  <si>
    <t>Geologia e Potencial Mineral do Centro Leste de Rondônia</t>
  </si>
  <si>
    <t> 4495.084</t>
  </si>
  <si>
    <t>Mapa Geológico e de Recursos Minerais do Estado de Rondonia</t>
  </si>
  <si>
    <t> 4548.084</t>
  </si>
  <si>
    <t>jairo.andrade@sgb.gov.br</t>
  </si>
  <si>
    <t>GABRO</t>
  </si>
  <si>
    <t> 4511.087</t>
  </si>
  <si>
    <t>Titânio Laterítico da Bacia do Paraná</t>
  </si>
  <si>
    <t> 4550.084</t>
  </si>
  <si>
    <t>NW do Escudo Sul-Rio-Grandense</t>
  </si>
  <si>
    <t>ID</t>
  </si>
  <si>
    <t>JAIRO JAMERSON CORREIA DE ANDRADE</t>
  </si>
  <si>
    <t>RUBEM SARDOU FILHO</t>
  </si>
  <si>
    <t> 4554.084</t>
  </si>
  <si>
    <t> 4553.084</t>
  </si>
  <si>
    <t> 4552.084</t>
  </si>
  <si>
    <t> 4551.084</t>
  </si>
  <si>
    <t> 4545.084</t>
  </si>
  <si>
    <t> 4516.084</t>
  </si>
  <si>
    <t> 4511.084</t>
  </si>
  <si>
    <t> 4496.087</t>
  </si>
  <si>
    <t> 4490.084</t>
  </si>
  <si>
    <t> 4489.084</t>
  </si>
  <si>
    <t> 4486.084</t>
  </si>
  <si>
    <t> 4362.260</t>
  </si>
  <si>
    <t> 4323.260</t>
  </si>
  <si>
    <t>Geologia e Potencial Mineral de Orizona-Catalão</t>
  </si>
  <si>
    <t>Massa mínima de amostra já preparada necessária para garantir a execução do processo analítico e possíveis reanálises</t>
  </si>
  <si>
    <t>IAGO SOUZA LIMA</t>
  </si>
  <si>
    <t>iago.costa@sgb.gov.br</t>
  </si>
  <si>
    <t>DEGEO--DIBASE</t>
  </si>
  <si>
    <t>FELIPE JOSÉ DA CRUZ LIMA</t>
  </si>
  <si>
    <t>felipe.lima@sgb.gov.br</t>
  </si>
  <si>
    <t xml:space="preserve">Diretora </t>
  </si>
  <si>
    <t>Departamento</t>
  </si>
  <si>
    <t>Diretoria de Geologia e Recursos Mierais</t>
  </si>
  <si>
    <t>Departamento de Geologia Básica</t>
  </si>
  <si>
    <t>Departamento de Recursos Mineais</t>
  </si>
  <si>
    <t>SGB-CPRM - SERVIÇO GEOLÓGICO DO BRASIL - ESCRITÓRIO RIO DE JANEIRO</t>
  </si>
  <si>
    <t>Diretoria de Inraestrutura Geocient[ifica</t>
  </si>
  <si>
    <t>CESAR LISBOA CHAVES</t>
  </si>
  <si>
    <t>cesar.chaves@sgb.gov.br</t>
  </si>
  <si>
    <t>JOÃO HENRIQUE LARIZZATTI</t>
  </si>
  <si>
    <t>joao.larizzati@sgb.gov.br</t>
  </si>
  <si>
    <t>SGB-CPRM - SERVIÇO GEOLÓGICO DO BRASIL -ESCRITÓRIO DO RIO DE JANEIRO</t>
  </si>
  <si>
    <t> 4519.084</t>
  </si>
  <si>
    <t>Geodinâmica,Tectônica e Recursos Minerais da Bacia do São Francisco</t>
  </si>
  <si>
    <t>NATÁLIA DIAS LOPES</t>
  </si>
  <si>
    <t>natalia.lopes@sgb.gov.br</t>
  </si>
  <si>
    <t>Departamento de Gerstão Territorial DIGATE</t>
  </si>
  <si>
    <t>DIGATE</t>
  </si>
  <si>
    <t> 4425.043</t>
  </si>
  <si>
    <t>LEVANTAMENTOS GEO-AMB APLICADOS AO ORDENAMENTO TERRITORIAL</t>
  </si>
  <si>
    <t>Rua Rodrigues Junior, 840 Centro</t>
  </si>
  <si>
    <t>85-3878-0235</t>
  </si>
  <si>
    <t> 4547.084</t>
  </si>
  <si>
    <t>Projeto Geologia e Potencial Mineral da Bacia Alagoas</t>
  </si>
  <si>
    <t>Geologia e Pot. Min. Da Região Da Serra da Lua</t>
  </si>
  <si>
    <t> 4610.084</t>
  </si>
  <si>
    <t>MELISSA FRANZEN</t>
  </si>
  <si>
    <t>melissa.franzen@sgb.gov.br</t>
  </si>
  <si>
    <t> 4590.043</t>
  </si>
  <si>
    <t>Geoquímia Ambiental Bacia Carbonífera</t>
  </si>
  <si>
    <t> 4549.087</t>
  </si>
  <si>
    <t>Estudos Multidisciplinares de Redução de Impactos da Mineração e Promoção de Circularidade na Indústria Extrativa</t>
  </si>
  <si>
    <t>ORDEM DE SERVIÇO PARA EXECUÇÃO CONTRATUAL, CONTRATO Nº 081/2023, PREGÃO ELETRÔNICO Nº 11/2023 - UASG 495130, PROCESSO 001216/2022-35 - PREPARAÇÃO E ANÁLISES QUÍMICAS V05/2024</t>
  </si>
  <si>
    <t>Geologia e Pot. Min. do Setor Leste do Tapajós</t>
  </si>
  <si>
    <t> 4604.084</t>
  </si>
  <si>
    <t>equipe.consistencia@sgb.gov.br</t>
  </si>
  <si>
    <t> 4493.087</t>
  </si>
  <si>
    <t>Projeto Cobre Brasil</t>
  </si>
  <si>
    <r>
      <t xml:space="preserve">Os resultados  no formato digital (excel e pdf) deverão ser enviados para todos os e-mail´s informados acima.  No boletim analítico deverá conter: número do lote, centro de custo, nome do requerente e sureg. </t>
    </r>
    <r>
      <rPr>
        <i/>
        <sz val="10"/>
        <color rgb="FFFF0000"/>
        <rFont val="Arial"/>
        <family val="2"/>
      </rPr>
      <t xml:space="preserve"> Em análises envolvendo sedimentos de corrente todo o material processado deve ser devolvido. </t>
    </r>
    <r>
      <rPr>
        <i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O e-mail comunicando a devolução das alíquotas e reservas de polpas deverá ser enviado  para os e-mails: redelitotecas@cprm.gov.br  e digeoqlab@sgb.gov.br                                                                                                                                                                                                                                                               Informar o endereço da Litoteca que as amostras deverão ser devolvidas.                       </t>
    </r>
    <r>
      <rPr>
        <i/>
        <sz val="10"/>
        <color indexed="10"/>
        <rFont val="Arial"/>
        <family val="2"/>
      </rPr>
      <t xml:space="preserve">   </t>
    </r>
  </si>
  <si>
    <t>tercyo.pineo@sgb.gov.br</t>
  </si>
  <si>
    <t>TERCYO PINEO</t>
  </si>
  <si>
    <t> 4600.087</t>
  </si>
  <si>
    <t>Geologia e Pot. Min. do da Reg de Canindé_SLCurú_Fortaleza</t>
  </si>
  <si>
    <t>Geologia e Pot. Min. Da Bacia Carbonífera</t>
  </si>
  <si>
    <t> 4645.084</t>
  </si>
  <si>
    <t>ANDREIA GROSS</t>
  </si>
  <si>
    <t>andreia.gross@sgb.gov.br</t>
  </si>
  <si>
    <t>LUCY TAKEHARA CHEMALE</t>
  </si>
  <si>
    <t>lucy.chemale@sgb.gov.br</t>
  </si>
  <si>
    <t> 4497.087</t>
  </si>
  <si>
    <t>Terras Raras</t>
  </si>
  <si>
    <t>Projeto Níquel Brasil</t>
  </si>
  <si>
    <t> 4598.087</t>
  </si>
  <si>
    <t>Geologia e Potencial Mineral do Sudeste do Paraná</t>
  </si>
  <si>
    <t> 4607.084</t>
  </si>
  <si>
    <t>x</t>
  </si>
  <si>
    <t>4077-RB-S-015</t>
  </si>
  <si>
    <t>4077-RB-S-047</t>
  </si>
  <si>
    <t>4077-RB-S-052</t>
  </si>
  <si>
    <t>4077-RB-S-054</t>
  </si>
  <si>
    <t>4077-RB-S-055</t>
  </si>
  <si>
    <t>4077-RB-S-058</t>
  </si>
  <si>
    <t>4077-RB-S-058A</t>
  </si>
  <si>
    <t>4077-RB-S-065</t>
  </si>
  <si>
    <t>4077-RB-S-069</t>
  </si>
  <si>
    <t>4077-RB-S-070</t>
  </si>
  <si>
    <t>4077-RB-S-074</t>
  </si>
  <si>
    <t>4077-RB-S-075</t>
  </si>
  <si>
    <t>4077-RB-S-082</t>
  </si>
  <si>
    <t>4077-RB-S-085</t>
  </si>
  <si>
    <t>4077-RB-S-085A</t>
  </si>
  <si>
    <t>4077-RB-S-086</t>
  </si>
  <si>
    <t>4077-RB-S-087</t>
  </si>
  <si>
    <t>4077-RB-S-090</t>
  </si>
  <si>
    <t>4077-RB-S-094</t>
  </si>
  <si>
    <t>4077-RB-S-095</t>
  </si>
  <si>
    <t>4077-RB-S-098</t>
  </si>
  <si>
    <t>4077-RB-S-102</t>
  </si>
  <si>
    <t>4077-RB-S-103</t>
  </si>
  <si>
    <t>4077-RB-S-104</t>
  </si>
  <si>
    <t>4077-RB-S-107</t>
  </si>
  <si>
    <t>4077-RB-S-108</t>
  </si>
  <si>
    <t>4077-RB-S-108A</t>
  </si>
  <si>
    <t>4077-RB-S-121</t>
  </si>
  <si>
    <t>4077-RB-S-135</t>
  </si>
  <si>
    <t>4077-RB-S-138</t>
  </si>
  <si>
    <t>4077-RB-S-140</t>
  </si>
  <si>
    <t>4077-RB-S-143</t>
  </si>
  <si>
    <t>4077-RB-S-144</t>
  </si>
  <si>
    <t>4077-RB-S-145</t>
  </si>
  <si>
    <t>4077-RB-S-146</t>
  </si>
  <si>
    <t>4077-RB-S-147</t>
  </si>
  <si>
    <t>4077-RB-S-148</t>
  </si>
  <si>
    <t>4077-RB-S-152</t>
  </si>
  <si>
    <t>4077-RB-S-153</t>
  </si>
  <si>
    <t>4077-RB-S-154</t>
  </si>
  <si>
    <t>4077-RB-S-155</t>
  </si>
  <si>
    <t>4077-RB-S-159</t>
  </si>
  <si>
    <t>4077-RB-S-162</t>
  </si>
  <si>
    <t>4077-RB-S-170</t>
  </si>
  <si>
    <t>1532/SP</t>
  </si>
  <si>
    <t>IBV895</t>
  </si>
  <si>
    <t>IBV896</t>
  </si>
  <si>
    <t>IBV897</t>
  </si>
  <si>
    <t>IBV898</t>
  </si>
  <si>
    <t>IBV899</t>
  </si>
  <si>
    <t>IBV900</t>
  </si>
  <si>
    <t>IBV901</t>
  </si>
  <si>
    <t>IBV902</t>
  </si>
  <si>
    <t>IBV903</t>
  </si>
  <si>
    <t>IBV904</t>
  </si>
  <si>
    <t>IBV905</t>
  </si>
  <si>
    <t>IBV906</t>
  </si>
  <si>
    <t>IBV907</t>
  </si>
  <si>
    <t>IBV908</t>
  </si>
  <si>
    <t>IBV909</t>
  </si>
  <si>
    <t>IBV910</t>
  </si>
  <si>
    <t>IBV911</t>
  </si>
  <si>
    <t>IBV912</t>
  </si>
  <si>
    <t>IBV913</t>
  </si>
  <si>
    <t>IBV914</t>
  </si>
  <si>
    <t>IBV915</t>
  </si>
  <si>
    <t>IBV916</t>
  </si>
  <si>
    <t>IBV917</t>
  </si>
  <si>
    <t>IBV918</t>
  </si>
  <si>
    <t>IBV919</t>
  </si>
  <si>
    <t>IBV920</t>
  </si>
  <si>
    <t>IBV921</t>
  </si>
  <si>
    <t>IBV922</t>
  </si>
  <si>
    <t>IBV923</t>
  </si>
  <si>
    <t>IBV924</t>
  </si>
  <si>
    <t>IBV925</t>
  </si>
  <si>
    <t>IBV926</t>
  </si>
  <si>
    <t>IBV927</t>
  </si>
  <si>
    <t>IBV928</t>
  </si>
  <si>
    <t>IBV929</t>
  </si>
  <si>
    <t>IBV930</t>
  </si>
  <si>
    <t>IBV931</t>
  </si>
  <si>
    <t>IBV932</t>
  </si>
  <si>
    <t>IBV933</t>
  </si>
  <si>
    <t>IBV934</t>
  </si>
  <si>
    <t>IBV935</t>
  </si>
  <si>
    <t>IBV936</t>
  </si>
  <si>
    <t>IBV937</t>
  </si>
  <si>
    <t>IBV938</t>
  </si>
  <si>
    <t>IBV939</t>
  </si>
  <si>
    <t>IBV940</t>
  </si>
  <si>
    <t>IBV941</t>
  </si>
  <si>
    <t>IBV942</t>
  </si>
  <si>
    <t>IBV943</t>
  </si>
  <si>
    <t>IBV944</t>
  </si>
  <si>
    <t>4077-RB-S-172</t>
  </si>
  <si>
    <t>4077-RB-S-179</t>
  </si>
  <si>
    <t>4077-RB-S-207</t>
  </si>
  <si>
    <t>4077-RB-S-235</t>
  </si>
  <si>
    <t>4077-RB-S-241</t>
  </si>
  <si>
    <t>4077-RB-S-245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</si>
</sst>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.0000000000"/>
    <numFmt numFmtId="166" formatCode="[$-F400]h:mm:ss\ AM/PM"/>
    <numFmt numFmtId="167" formatCode="0.000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hadow/>
      <sz val="14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1"/>
      <name val="Cambria"/>
      <family val="1"/>
      <scheme val="major"/>
    </font>
    <font>
      <b/>
      <shadow/>
      <sz val="12"/>
      <name val="Arial"/>
      <family val="2"/>
    </font>
    <font>
      <b/>
      <shadow/>
      <sz val="9"/>
      <name val="Arial"/>
      <family val="2"/>
    </font>
    <font>
      <sz val="10"/>
      <name val="Cambria"/>
      <family val="1"/>
      <scheme val="major"/>
    </font>
    <font>
      <b/>
      <sz val="14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2"/>
      <color rgb="FF000000"/>
      <name val="Calibri"/>
      <family val="2"/>
    </font>
    <font>
      <u/>
      <sz val="10"/>
      <name val="Arial"/>
      <family val="2"/>
    </font>
    <font>
      <sz val="9"/>
      <color rgb="FF000000"/>
      <name val="Verdana"/>
      <family val="2"/>
    </font>
    <font>
      <sz val="9"/>
      <color rgb="FF222222"/>
      <name val="Calibri"/>
      <family val="2"/>
    </font>
    <font>
      <i/>
      <sz val="10"/>
      <color rgb="FFFF0000"/>
      <name val="Arial"/>
      <family val="2"/>
    </font>
    <font>
      <sz val="10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8" borderId="0" applyNumberFormat="0" applyBorder="0" applyAlignment="0" applyProtection="0"/>
    <xf numFmtId="0" fontId="9" fillId="0" borderId="0"/>
  </cellStyleXfs>
  <cellXfs count="33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0" fontId="2" fillId="0" borderId="0" xfId="0" applyFont="1" applyProtection="1">
      <protection locked="0"/>
    </xf>
    <xf numFmtId="0" fontId="0" fillId="2" borderId="12" xfId="0" applyFill="1" applyBorder="1" applyAlignment="1" applyProtection="1">
      <alignment horizontal="left" vertical="center"/>
      <protection locked="0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3" applyAlignment="1">
      <alignment vertical="center"/>
    </xf>
    <xf numFmtId="0" fontId="9" fillId="0" borderId="0" xfId="3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4" borderId="0" xfId="0" applyFill="1"/>
    <xf numFmtId="0" fontId="0" fillId="2" borderId="3" xfId="0" applyFill="1" applyBorder="1"/>
    <xf numFmtId="0" fontId="0" fillId="2" borderId="8" xfId="0" applyFill="1" applyBorder="1"/>
    <xf numFmtId="0" fontId="0" fillId="2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2" fillId="2" borderId="3" xfId="0" applyFont="1" applyFill="1" applyBorder="1" applyAlignment="1">
      <alignment horizontal="right" wrapText="1"/>
    </xf>
    <xf numFmtId="0" fontId="18" fillId="2" borderId="0" xfId="0" applyFont="1" applyFill="1"/>
    <xf numFmtId="0" fontId="18" fillId="2" borderId="2" xfId="0" applyFont="1" applyFill="1" applyBorder="1"/>
    <xf numFmtId="0" fontId="0" fillId="2" borderId="30" xfId="0" applyFill="1" applyBorder="1"/>
    <xf numFmtId="0" fontId="0" fillId="2" borderId="31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0" xfId="0" applyFill="1"/>
    <xf numFmtId="0" fontId="14" fillId="4" borderId="0" xfId="0" applyFont="1" applyFill="1"/>
    <xf numFmtId="0" fontId="0" fillId="4" borderId="5" xfId="0" applyFill="1" applyBorder="1"/>
    <xf numFmtId="0" fontId="3" fillId="4" borderId="6" xfId="0" applyFont="1" applyFill="1" applyBorder="1"/>
    <xf numFmtId="0" fontId="4" fillId="4" borderId="3" xfId="0" applyFont="1" applyFill="1" applyBorder="1"/>
    <xf numFmtId="0" fontId="7" fillId="4" borderId="3" xfId="0" applyFont="1" applyFill="1" applyBorder="1"/>
    <xf numFmtId="0" fontId="5" fillId="4" borderId="3" xfId="0" applyFont="1" applyFill="1" applyBorder="1"/>
    <xf numFmtId="0" fontId="0" fillId="4" borderId="2" xfId="0" applyFill="1" applyBorder="1"/>
    <xf numFmtId="0" fontId="7" fillId="4" borderId="9" xfId="0" applyFont="1" applyFill="1" applyBorder="1"/>
    <xf numFmtId="0" fontId="19" fillId="0" borderId="0" xfId="0" applyFont="1"/>
    <xf numFmtId="0" fontId="8" fillId="0" borderId="0" xfId="1" applyBorder="1" applyAlignment="1" applyProtection="1"/>
    <xf numFmtId="0" fontId="22" fillId="0" borderId="0" xfId="0" applyFont="1"/>
    <xf numFmtId="0" fontId="0" fillId="2" borderId="0" xfId="0" applyFill="1" applyAlignment="1">
      <alignment vertical="center"/>
    </xf>
    <xf numFmtId="0" fontId="8" fillId="2" borderId="13" xfId="1" applyFill="1" applyBorder="1" applyAlignment="1" applyProtection="1"/>
    <xf numFmtId="0" fontId="15" fillId="2" borderId="13" xfId="0" applyFont="1" applyFill="1" applyBorder="1" applyAlignment="1">
      <alignment horizontal="center"/>
    </xf>
    <xf numFmtId="0" fontId="15" fillId="2" borderId="56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3" fontId="14" fillId="0" borderId="22" xfId="0" applyNumberFormat="1" applyFont="1" applyBorder="1" applyAlignment="1" applyProtection="1">
      <alignment horizontal="center"/>
      <protection locked="0"/>
    </xf>
    <xf numFmtId="0" fontId="3" fillId="2" borderId="52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Protection="1">
      <protection locked="0"/>
    </xf>
    <xf numFmtId="0" fontId="2" fillId="2" borderId="15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2" fontId="2" fillId="2" borderId="50" xfId="0" applyNumberFormat="1" applyFont="1" applyFill="1" applyBorder="1" applyAlignment="1">
      <alignment horizontal="right"/>
    </xf>
    <xf numFmtId="2" fontId="2" fillId="2" borderId="41" xfId="0" applyNumberFormat="1" applyFont="1" applyFill="1" applyBorder="1" applyAlignment="1">
      <alignment horizontal="right"/>
    </xf>
    <xf numFmtId="2" fontId="2" fillId="2" borderId="32" xfId="0" applyNumberFormat="1" applyFont="1" applyFill="1" applyBorder="1" applyAlignment="1">
      <alignment horizontal="right"/>
    </xf>
    <xf numFmtId="2" fontId="2" fillId="2" borderId="48" xfId="0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4" fillId="2" borderId="20" xfId="0" applyFont="1" applyFill="1" applyBorder="1" applyAlignment="1" applyProtection="1">
      <alignment horizontal="left" vertical="center"/>
      <protection locked="0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0" fontId="24" fillId="2" borderId="20" xfId="0" applyFont="1" applyFill="1" applyBorder="1" applyAlignment="1" applyProtection="1">
      <alignment horizontal="center" vertical="center"/>
      <protection locked="0"/>
    </xf>
    <xf numFmtId="167" fontId="24" fillId="0" borderId="19" xfId="0" applyNumberFormat="1" applyFont="1" applyBorder="1" applyAlignment="1" applyProtection="1">
      <alignment horizontal="left" vertical="center"/>
      <protection locked="0"/>
    </xf>
    <xf numFmtId="167" fontId="24" fillId="2" borderId="15" xfId="0" applyNumberFormat="1" applyFont="1" applyFill="1" applyBorder="1" applyAlignment="1" applyProtection="1">
      <alignment horizontal="left" vertical="center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4" fillId="0" borderId="12" xfId="0" applyFont="1" applyBorder="1" applyAlignment="1" applyProtection="1">
      <alignment horizontal="center" vertical="center"/>
      <protection locked="0"/>
    </xf>
    <xf numFmtId="0" fontId="23" fillId="5" borderId="32" xfId="0" applyFont="1" applyFill="1" applyBorder="1" applyAlignment="1">
      <alignment horizontal="center" textRotation="90"/>
    </xf>
    <xf numFmtId="164" fontId="23" fillId="5" borderId="24" xfId="0" applyNumberFormat="1" applyFont="1" applyFill="1" applyBorder="1" applyAlignment="1">
      <alignment horizontal="center" vertical="center" textRotation="90"/>
    </xf>
    <xf numFmtId="164" fontId="23" fillId="5" borderId="57" xfId="0" applyNumberFormat="1" applyFont="1" applyFill="1" applyBorder="1" applyAlignment="1">
      <alignment horizontal="center" vertical="center" textRotation="90"/>
    </xf>
    <xf numFmtId="164" fontId="23" fillId="5" borderId="25" xfId="0" applyNumberFormat="1" applyFont="1" applyFill="1" applyBorder="1" applyAlignment="1">
      <alignment horizontal="center" vertical="center" textRotation="90"/>
    </xf>
    <xf numFmtId="165" fontId="23" fillId="10" borderId="10" xfId="0" applyNumberFormat="1" applyFont="1" applyFill="1" applyBorder="1" applyAlignment="1">
      <alignment horizontal="center" vertical="center" wrapText="1"/>
    </xf>
    <xf numFmtId="165" fontId="23" fillId="10" borderId="10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center" textRotation="90"/>
    </xf>
    <xf numFmtId="0" fontId="3" fillId="4" borderId="3" xfId="0" applyFont="1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165" fontId="24" fillId="0" borderId="4" xfId="0" applyNumberFormat="1" applyFont="1" applyBorder="1" applyAlignment="1">
      <alignment horizontal="left" vertical="center"/>
    </xf>
    <xf numFmtId="165" fontId="24" fillId="2" borderId="4" xfId="0" applyNumberFormat="1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left" vertical="center"/>
    </xf>
    <xf numFmtId="0" fontId="2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wrapText="1"/>
    </xf>
    <xf numFmtId="0" fontId="23" fillId="3" borderId="33" xfId="0" applyFont="1" applyFill="1" applyBorder="1" applyAlignment="1">
      <alignment horizontal="center" vertical="center"/>
    </xf>
    <xf numFmtId="0" fontId="28" fillId="4" borderId="41" xfId="0" applyFont="1" applyFill="1" applyBorder="1"/>
    <xf numFmtId="0" fontId="2" fillId="11" borderId="0" xfId="0" applyFont="1" applyFill="1"/>
    <xf numFmtId="0" fontId="2" fillId="12" borderId="41" xfId="0" applyFont="1" applyFill="1" applyBorder="1"/>
    <xf numFmtId="0" fontId="0" fillId="12" borderId="41" xfId="0" applyFill="1" applyBorder="1"/>
    <xf numFmtId="0" fontId="0" fillId="0" borderId="19" xfId="0" applyBorder="1"/>
    <xf numFmtId="0" fontId="2" fillId="13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4" borderId="0" xfId="0" applyFont="1" applyFill="1"/>
    <xf numFmtId="164" fontId="3" fillId="2" borderId="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2" xfId="0" applyNumberFormat="1" applyFont="1" applyFill="1" applyBorder="1" applyAlignment="1" applyProtection="1">
      <alignment horizontal="center" vertical="center"/>
      <protection locked="0"/>
    </xf>
    <xf numFmtId="1" fontId="3" fillId="2" borderId="52" xfId="0" applyNumberFormat="1" applyFont="1" applyFill="1" applyBorder="1" applyAlignment="1" applyProtection="1">
      <alignment horizontal="center" vertical="center"/>
      <protection locked="0"/>
    </xf>
    <xf numFmtId="0" fontId="8" fillId="0" borderId="0" xfId="1" applyAlignment="1" applyProtection="1"/>
    <xf numFmtId="0" fontId="0" fillId="4" borderId="0" xfId="0" applyFill="1" applyAlignment="1" applyProtection="1">
      <alignment horizontal="center"/>
      <protection locked="0"/>
    </xf>
    <xf numFmtId="0" fontId="2" fillId="2" borderId="18" xfId="0" applyFont="1" applyFill="1" applyBorder="1"/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wrapText="1"/>
    </xf>
    <xf numFmtId="0" fontId="24" fillId="4" borderId="2" xfId="0" applyFont="1" applyFill="1" applyBorder="1" applyAlignment="1">
      <alignment horizontal="center" vertical="top"/>
    </xf>
    <xf numFmtId="0" fontId="23" fillId="4" borderId="0" xfId="0" applyFont="1" applyFill="1" applyAlignment="1">
      <alignment horizontal="center"/>
    </xf>
    <xf numFmtId="0" fontId="31" fillId="0" borderId="0" xfId="0" applyFont="1"/>
    <xf numFmtId="0" fontId="8" fillId="0" borderId="1" xfId="1" applyFill="1" applyBorder="1" applyAlignment="1" applyProtection="1">
      <alignment vertical="center"/>
    </xf>
    <xf numFmtId="0" fontId="0" fillId="4" borderId="0" xfId="0" applyFill="1" applyAlignment="1">
      <alignment horizontal="center"/>
    </xf>
    <xf numFmtId="0" fontId="23" fillId="3" borderId="3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1" fontId="23" fillId="2" borderId="10" xfId="0" applyNumberFormat="1" applyFont="1" applyFill="1" applyBorder="1" applyAlignment="1" applyProtection="1">
      <alignment horizontal="center" vertical="center"/>
      <protection locked="0"/>
    </xf>
    <xf numFmtId="1" fontId="23" fillId="2" borderId="15" xfId="0" applyNumberFormat="1" applyFont="1" applyFill="1" applyBorder="1" applyAlignment="1" applyProtection="1">
      <alignment horizontal="center" vertical="center"/>
      <protection locked="0"/>
    </xf>
    <xf numFmtId="1" fontId="23" fillId="2" borderId="35" xfId="0" applyNumberFormat="1" applyFont="1" applyFill="1" applyBorder="1" applyAlignment="1" applyProtection="1">
      <alignment horizontal="center" vertical="center"/>
      <protection locked="0"/>
    </xf>
    <xf numFmtId="1" fontId="23" fillId="2" borderId="14" xfId="0" applyNumberFormat="1" applyFont="1" applyFill="1" applyBorder="1" applyAlignment="1" applyProtection="1">
      <alignment horizontal="center" vertical="center"/>
      <protection locked="0"/>
    </xf>
    <xf numFmtId="0" fontId="23" fillId="5" borderId="42" xfId="0" applyFont="1" applyFill="1" applyBorder="1" applyAlignment="1">
      <alignment horizontal="center" textRotation="90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23" fillId="3" borderId="31" xfId="0" applyFont="1" applyFill="1" applyBorder="1" applyAlignment="1">
      <alignment horizontal="center" vertical="center"/>
    </xf>
    <xf numFmtId="164" fontId="23" fillId="5" borderId="60" xfId="0" applyNumberFormat="1" applyFont="1" applyFill="1" applyBorder="1" applyAlignment="1">
      <alignment horizontal="center" vertical="center" textRotation="90"/>
    </xf>
    <xf numFmtId="0" fontId="23" fillId="5" borderId="61" xfId="0" applyFont="1" applyFill="1" applyBorder="1" applyAlignment="1">
      <alignment horizontal="center" textRotation="90"/>
    </xf>
    <xf numFmtId="0" fontId="23" fillId="5" borderId="62" xfId="0" applyFont="1" applyFill="1" applyBorder="1" applyAlignment="1">
      <alignment horizontal="center" textRotation="9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>
      <alignment horizontal="left"/>
    </xf>
    <xf numFmtId="0" fontId="33" fillId="0" borderId="0" xfId="0" applyFont="1"/>
    <xf numFmtId="0" fontId="34" fillId="0" borderId="0" xfId="0" applyFont="1"/>
    <xf numFmtId="0" fontId="36" fillId="0" borderId="0" xfId="0" applyFont="1"/>
    <xf numFmtId="0" fontId="20" fillId="9" borderId="33" xfId="0" applyFont="1" applyFill="1" applyBorder="1" applyAlignment="1">
      <alignment horizontal="center" vertical="center" wrapText="1"/>
    </xf>
    <xf numFmtId="0" fontId="20" fillId="9" borderId="34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/>
    </xf>
    <xf numFmtId="0" fontId="2" fillId="2" borderId="17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horizontal="left" wrapText="1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6" fillId="2" borderId="17" xfId="0" applyFont="1" applyFill="1" applyBorder="1" applyAlignment="1" applyProtection="1">
      <alignment horizontal="left" wrapText="1"/>
      <protection locked="0" hidden="1"/>
    </xf>
    <xf numFmtId="0" fontId="16" fillId="2" borderId="16" xfId="0" applyFont="1" applyFill="1" applyBorder="1" applyAlignment="1" applyProtection="1">
      <alignment horizontal="left" wrapText="1"/>
      <protection locked="0" hidden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38" xfId="0" applyFont="1" applyFill="1" applyBorder="1" applyAlignment="1">
      <alignment horizontal="center" wrapText="1"/>
    </xf>
    <xf numFmtId="0" fontId="2" fillId="2" borderId="41" xfId="0" applyFont="1" applyFill="1" applyBorder="1" applyAlignment="1">
      <alignment horizontal="right" wrapText="1"/>
    </xf>
    <xf numFmtId="0" fontId="2" fillId="0" borderId="2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35" xfId="0" applyFont="1" applyFill="1" applyBorder="1" applyAlignment="1">
      <alignment horizontal="center" wrapText="1"/>
    </xf>
    <xf numFmtId="0" fontId="2" fillId="2" borderId="55" xfId="0" applyFont="1" applyFill="1" applyBorder="1" applyAlignment="1">
      <alignment horizontal="center" wrapText="1"/>
    </xf>
    <xf numFmtId="0" fontId="2" fillId="2" borderId="39" xfId="0" applyFont="1" applyFill="1" applyBorder="1" applyAlignment="1">
      <alignment horizontal="right" wrapText="1"/>
    </xf>
    <xf numFmtId="0" fontId="2" fillId="2" borderId="40" xfId="0" applyFont="1" applyFill="1" applyBorder="1" applyAlignment="1">
      <alignment horizontal="right" wrapText="1"/>
    </xf>
    <xf numFmtId="0" fontId="8" fillId="0" borderId="53" xfId="1" applyBorder="1" applyAlignment="1" applyProtection="1">
      <alignment horizontal="center"/>
      <protection hidden="1"/>
    </xf>
    <xf numFmtId="0" fontId="8" fillId="0" borderId="36" xfId="1" applyBorder="1" applyAlignment="1" applyProtection="1">
      <alignment horizontal="center"/>
      <protection hidden="1"/>
    </xf>
    <xf numFmtId="0" fontId="2" fillId="2" borderId="58" xfId="0" applyFont="1" applyFill="1" applyBorder="1" applyAlignment="1">
      <alignment horizontal="left"/>
    </xf>
    <xf numFmtId="0" fontId="2" fillId="2" borderId="56" xfId="0" applyFont="1" applyFill="1" applyBorder="1" applyAlignment="1">
      <alignment horizontal="left"/>
    </xf>
    <xf numFmtId="0" fontId="8" fillId="2" borderId="17" xfId="1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3" fillId="7" borderId="33" xfId="0" applyFont="1" applyFill="1" applyBorder="1" applyAlignment="1" applyProtection="1">
      <alignment horizontal="center" wrapText="1"/>
      <protection locked="0"/>
    </xf>
    <xf numFmtId="0" fontId="3" fillId="7" borderId="34" xfId="0" applyFont="1" applyFill="1" applyBorder="1" applyAlignment="1" applyProtection="1">
      <alignment horizontal="center" wrapText="1"/>
      <protection locked="0"/>
    </xf>
    <xf numFmtId="0" fontId="3" fillId="7" borderId="30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right" wrapText="1"/>
    </xf>
    <xf numFmtId="0" fontId="3" fillId="2" borderId="10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2" fillId="2" borderId="15" xfId="0" applyFont="1" applyFill="1" applyBorder="1" applyAlignment="1">
      <alignment horizontal="left" wrapText="1"/>
    </xf>
    <xf numFmtId="0" fontId="2" fillId="2" borderId="19" xfId="0" applyFont="1" applyFill="1" applyBorder="1" applyAlignment="1">
      <alignment horizontal="left" wrapText="1"/>
    </xf>
    <xf numFmtId="0" fontId="2" fillId="2" borderId="38" xfId="0" applyFont="1" applyFill="1" applyBorder="1" applyAlignment="1">
      <alignment horizontal="left" wrapText="1"/>
    </xf>
    <xf numFmtId="0" fontId="3" fillId="2" borderId="41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42" xfId="0" applyFont="1" applyFill="1" applyBorder="1" applyAlignment="1">
      <alignment horizontal="center" wrapText="1"/>
    </xf>
    <xf numFmtId="0" fontId="2" fillId="2" borderId="37" xfId="0" applyFont="1" applyFill="1" applyBorder="1" applyAlignment="1">
      <alignment horizontal="center" wrapText="1"/>
    </xf>
    <xf numFmtId="0" fontId="2" fillId="2" borderId="36" xfId="0" applyFont="1" applyFill="1" applyBorder="1" applyAlignment="1">
      <alignment horizontal="center" wrapText="1"/>
    </xf>
    <xf numFmtId="0" fontId="3" fillId="2" borderId="35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center" wrapText="1"/>
    </xf>
    <xf numFmtId="0" fontId="3" fillId="7" borderId="3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left"/>
    </xf>
    <xf numFmtId="0" fontId="32" fillId="2" borderId="19" xfId="0" applyFont="1" applyFill="1" applyBorder="1" applyAlignment="1" applyProtection="1">
      <alignment horizontal="left"/>
      <protection locked="0"/>
    </xf>
    <xf numFmtId="0" fontId="32" fillId="2" borderId="38" xfId="0" applyFont="1" applyFill="1" applyBorder="1" applyAlignment="1" applyProtection="1">
      <alignment horizontal="left"/>
      <protection locked="0"/>
    </xf>
    <xf numFmtId="0" fontId="8" fillId="2" borderId="19" xfId="1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38" xfId="0" applyFill="1" applyBorder="1" applyAlignment="1" applyProtection="1">
      <alignment horizontal="center"/>
      <protection locked="0"/>
    </xf>
    <xf numFmtId="0" fontId="8" fillId="2" borderId="19" xfId="1" applyFill="1" applyBorder="1" applyAlignment="1" applyProtection="1">
      <protection locked="0"/>
    </xf>
    <xf numFmtId="0" fontId="2" fillId="2" borderId="19" xfId="0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0" fontId="2" fillId="2" borderId="53" xfId="0" applyFont="1" applyFill="1" applyBorder="1" applyAlignment="1">
      <alignment horizontal="left"/>
    </xf>
    <xf numFmtId="0" fontId="2" fillId="2" borderId="55" xfId="0" applyFont="1" applyFill="1" applyBorder="1" applyAlignment="1">
      <alignment horizontal="left"/>
    </xf>
    <xf numFmtId="0" fontId="8" fillId="2" borderId="37" xfId="1" applyFill="1" applyBorder="1" applyAlignment="1" applyProtection="1">
      <alignment horizontal="center"/>
      <protection locked="0"/>
    </xf>
    <xf numFmtId="0" fontId="8" fillId="2" borderId="55" xfId="1" applyFill="1" applyBorder="1" applyAlignment="1" applyProtection="1">
      <alignment horizontal="center"/>
      <protection locked="0"/>
    </xf>
    <xf numFmtId="0" fontId="8" fillId="2" borderId="36" xfId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49" fontId="29" fillId="2" borderId="4" xfId="0" applyNumberFormat="1" applyFont="1" applyFill="1" applyBorder="1" applyAlignment="1" applyProtection="1">
      <alignment vertical="top" wrapText="1"/>
      <protection locked="0"/>
    </xf>
    <xf numFmtId="49" fontId="29" fillId="2" borderId="5" xfId="0" applyNumberFormat="1" applyFont="1" applyFill="1" applyBorder="1" applyAlignment="1" applyProtection="1">
      <alignment vertical="top" wrapText="1"/>
      <protection locked="0"/>
    </xf>
    <xf numFmtId="49" fontId="29" fillId="2" borderId="6" xfId="0" applyNumberFormat="1" applyFont="1" applyFill="1" applyBorder="1" applyAlignment="1" applyProtection="1">
      <alignment vertical="top" wrapText="1"/>
      <protection locked="0"/>
    </xf>
    <xf numFmtId="49" fontId="29" fillId="2" borderId="7" xfId="0" applyNumberFormat="1" applyFont="1" applyFill="1" applyBorder="1" applyAlignment="1" applyProtection="1">
      <alignment vertical="top" wrapText="1"/>
      <protection locked="0"/>
    </xf>
    <xf numFmtId="49" fontId="29" fillId="2" borderId="0" xfId="0" applyNumberFormat="1" applyFont="1" applyFill="1" applyAlignment="1" applyProtection="1">
      <alignment vertical="top" wrapText="1"/>
      <protection locked="0"/>
    </xf>
    <xf numFmtId="49" fontId="29" fillId="2" borderId="3" xfId="0" applyNumberFormat="1" applyFont="1" applyFill="1" applyBorder="1" applyAlignment="1" applyProtection="1">
      <alignment vertical="top" wrapText="1"/>
      <protection locked="0"/>
    </xf>
    <xf numFmtId="49" fontId="29" fillId="2" borderId="8" xfId="0" applyNumberFormat="1" applyFont="1" applyFill="1" applyBorder="1" applyAlignment="1" applyProtection="1">
      <alignment vertical="top" wrapText="1"/>
      <protection locked="0"/>
    </xf>
    <xf numFmtId="49" fontId="29" fillId="2" borderId="2" xfId="0" applyNumberFormat="1" applyFont="1" applyFill="1" applyBorder="1" applyAlignment="1" applyProtection="1">
      <alignment vertical="top" wrapText="1"/>
      <protection locked="0"/>
    </xf>
    <xf numFmtId="49" fontId="29" fillId="2" borderId="9" xfId="0" applyNumberFormat="1" applyFont="1" applyFill="1" applyBorder="1" applyAlignment="1" applyProtection="1">
      <alignment vertical="top" wrapText="1"/>
      <protection locked="0"/>
    </xf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2" fillId="2" borderId="33" xfId="0" applyFont="1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4" xfId="0" applyFont="1" applyBorder="1" applyAlignment="1" applyProtection="1">
      <alignment horizontal="center"/>
      <protection locked="0"/>
    </xf>
    <xf numFmtId="0" fontId="2" fillId="0" borderId="45" xfId="0" applyFont="1" applyBorder="1" applyAlignment="1" applyProtection="1">
      <alignment horizontal="center"/>
      <protection locked="0"/>
    </xf>
    <xf numFmtId="0" fontId="26" fillId="8" borderId="43" xfId="2" applyFont="1" applyBorder="1" applyAlignment="1" applyProtection="1">
      <alignment horizontal="center" vertical="center" wrapText="1"/>
    </xf>
    <xf numFmtId="0" fontId="26" fillId="8" borderId="44" xfId="2" applyFont="1" applyBorder="1" applyAlignment="1" applyProtection="1">
      <alignment horizontal="center" vertical="center" wrapText="1"/>
    </xf>
    <xf numFmtId="0" fontId="26" fillId="8" borderId="45" xfId="2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top"/>
    </xf>
    <xf numFmtId="0" fontId="0" fillId="4" borderId="44" xfId="0" applyFill="1" applyBorder="1" applyAlignment="1">
      <alignment horizontal="right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5" fontId="23" fillId="10" borderId="4" xfId="0" applyNumberFormat="1" applyFont="1" applyFill="1" applyBorder="1" applyAlignment="1">
      <alignment horizontal="center" vertical="center" wrapText="1"/>
    </xf>
    <xf numFmtId="165" fontId="24" fillId="10" borderId="6" xfId="0" applyNumberFormat="1" applyFont="1" applyFill="1" applyBorder="1" applyAlignment="1">
      <alignment vertical="center" wrapText="1"/>
    </xf>
    <xf numFmtId="165" fontId="23" fillId="10" borderId="7" xfId="0" applyNumberFormat="1" applyFont="1" applyFill="1" applyBorder="1" applyAlignment="1">
      <alignment horizontal="center" vertical="center" wrapText="1"/>
    </xf>
    <xf numFmtId="165" fontId="24" fillId="10" borderId="3" xfId="0" applyNumberFormat="1" applyFont="1" applyFill="1" applyBorder="1" applyAlignment="1">
      <alignment vertical="center" wrapText="1"/>
    </xf>
    <xf numFmtId="165" fontId="24" fillId="10" borderId="8" xfId="0" applyNumberFormat="1" applyFont="1" applyFill="1" applyBorder="1" applyAlignment="1">
      <alignment vertical="center" wrapText="1"/>
    </xf>
    <xf numFmtId="165" fontId="24" fillId="10" borderId="9" xfId="0" applyNumberFormat="1" applyFont="1" applyFill="1" applyBorder="1" applyAlignment="1">
      <alignment vertical="center" wrapText="1"/>
    </xf>
    <xf numFmtId="0" fontId="23" fillId="10" borderId="43" xfId="0" applyFont="1" applyFill="1" applyBorder="1" applyAlignment="1">
      <alignment horizontal="center" vertical="center" wrapText="1"/>
    </xf>
    <xf numFmtId="0" fontId="23" fillId="10" borderId="44" xfId="0" applyFont="1" applyFill="1" applyBorder="1" applyAlignment="1">
      <alignment horizontal="center" vertical="center" wrapText="1"/>
    </xf>
    <xf numFmtId="0" fontId="23" fillId="10" borderId="45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 wrapText="1"/>
    </xf>
    <xf numFmtId="166" fontId="23" fillId="5" borderId="43" xfId="0" applyNumberFormat="1" applyFont="1" applyFill="1" applyBorder="1" applyAlignment="1">
      <alignment horizontal="center" vertical="center" wrapText="1"/>
    </xf>
    <xf numFmtId="166" fontId="23" fillId="5" borderId="44" xfId="0" applyNumberFormat="1" applyFont="1" applyFill="1" applyBorder="1" applyAlignment="1">
      <alignment horizontal="center" vertical="center" wrapText="1"/>
    </xf>
    <xf numFmtId="166" fontId="23" fillId="5" borderId="45" xfId="0" applyNumberFormat="1" applyFont="1" applyFill="1" applyBorder="1" applyAlignment="1">
      <alignment horizontal="center" vertical="center" wrapText="1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23" fillId="2" borderId="33" xfId="0" applyFont="1" applyFill="1" applyBorder="1" applyAlignment="1">
      <alignment horizontal="right" vertical="center"/>
    </xf>
    <xf numFmtId="0" fontId="23" fillId="2" borderId="34" xfId="0" applyFont="1" applyFill="1" applyBorder="1" applyAlignment="1">
      <alignment horizontal="right" vertical="center"/>
    </xf>
    <xf numFmtId="0" fontId="23" fillId="2" borderId="30" xfId="0" applyFont="1" applyFill="1" applyBorder="1" applyAlignment="1">
      <alignment horizontal="right" vertical="center"/>
    </xf>
    <xf numFmtId="0" fontId="23" fillId="10" borderId="21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164" fontId="27" fillId="10" borderId="33" xfId="0" applyNumberFormat="1" applyFont="1" applyFill="1" applyBorder="1" applyAlignment="1">
      <alignment horizontal="center" vertical="center" wrapText="1"/>
    </xf>
    <xf numFmtId="164" fontId="27" fillId="10" borderId="34" xfId="0" applyNumberFormat="1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wrapText="1"/>
    </xf>
    <xf numFmtId="0" fontId="27" fillId="10" borderId="33" xfId="0" applyFont="1" applyFill="1" applyBorder="1" applyAlignment="1">
      <alignment horizontal="center" vertical="center"/>
    </xf>
    <xf numFmtId="0" fontId="27" fillId="10" borderId="34" xfId="0" applyFont="1" applyFill="1" applyBorder="1" applyAlignment="1">
      <alignment horizontal="center" vertical="center"/>
    </xf>
    <xf numFmtId="0" fontId="24" fillId="10" borderId="3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43" xfId="0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"/>
    </xf>
    <xf numFmtId="164" fontId="23" fillId="5" borderId="43" xfId="0" applyNumberFormat="1" applyFont="1" applyFill="1" applyBorder="1" applyAlignment="1">
      <alignment horizontal="center" vertical="center" wrapText="1"/>
    </xf>
    <xf numFmtId="164" fontId="23" fillId="5" borderId="44" xfId="0" applyNumberFormat="1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59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</cellXfs>
  <cellStyles count="4">
    <cellStyle name="20% - Ênfase4" xfId="2" builtinId="42"/>
    <cellStyle name="Hiperlink" xfId="1" builtinId="8"/>
    <cellStyle name="Normal" xfId="0" builtinId="0"/>
    <cellStyle name="Normal_Plan1" xfId="3" xr:uid="{00000000-0005-0000-0000-000003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fgColor auto="1"/>
          <bgColor theme="1" tint="0.499984740745262"/>
        </patternFill>
      </fill>
    </dxf>
    <dxf>
      <font>
        <color rgb="FFFFC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3" tint="0.59996337778862885"/>
      </font>
      <fill>
        <patternFill>
          <bgColor theme="0"/>
        </patternFill>
      </fill>
    </dxf>
    <dxf>
      <fill>
        <patternFill>
          <bgColor theme="6" tint="-0.24994659260841701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1</xdr:row>
      <xdr:rowOff>106065</xdr:rowOff>
    </xdr:from>
    <xdr:to>
      <xdr:col>5</xdr:col>
      <xdr:colOff>198218</xdr:colOff>
      <xdr:row>5</xdr:row>
      <xdr:rowOff>310878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77515"/>
          <a:ext cx="1904463" cy="929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196415</xdr:colOff>
      <xdr:row>1</xdr:row>
      <xdr:rowOff>285750</xdr:rowOff>
    </xdr:from>
    <xdr:to>
      <xdr:col>36</xdr:col>
      <xdr:colOff>225346</xdr:colOff>
      <xdr:row>5</xdr:row>
      <xdr:rowOff>154940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3665" y="460375"/>
          <a:ext cx="5417541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23811</xdr:colOff>
      <xdr:row>1</xdr:row>
      <xdr:rowOff>309563</xdr:rowOff>
    </xdr:from>
    <xdr:to>
      <xdr:col>3</xdr:col>
      <xdr:colOff>914130</xdr:colOff>
      <xdr:row>4</xdr:row>
      <xdr:rowOff>301466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4" y="476251"/>
          <a:ext cx="2604819" cy="1309686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214312</xdr:colOff>
      <xdr:row>57</xdr:row>
      <xdr:rowOff>202407</xdr:rowOff>
    </xdr:from>
    <xdr:to>
      <xdr:col>3</xdr:col>
      <xdr:colOff>878412</xdr:colOff>
      <xdr:row>60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21764626"/>
          <a:ext cx="2604819" cy="1309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quipe.consistencia@sgb.gov.br" TargetMode="External"/><Relationship Id="rId2" Type="http://schemas.openxmlformats.org/officeDocument/2006/relationships/hyperlink" Target="mailto:digeoqlab@sgb.gov.br" TargetMode="External"/><Relationship Id="rId1" Type="http://schemas.openxmlformats.org/officeDocument/2006/relationships/hyperlink" Target="mailto:digeoqlab@sgb.gov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cy.chemale@sgb.gov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wilson.oliveira@sgb.gov.br" TargetMode="External"/><Relationship Id="rId18" Type="http://schemas.openxmlformats.org/officeDocument/2006/relationships/hyperlink" Target="mailto:edney.palheta@sgb.gov.br" TargetMode="External"/><Relationship Id="rId26" Type="http://schemas.openxmlformats.org/officeDocument/2006/relationships/hyperlink" Target="mailto:ruben.sardou@sgb.gov.br" TargetMode="External"/><Relationship Id="rId39" Type="http://schemas.openxmlformats.org/officeDocument/2006/relationships/hyperlink" Target="mailto:lucy.chemale@sgb.gov.br" TargetMode="External"/><Relationship Id="rId21" Type="http://schemas.openxmlformats.org/officeDocument/2006/relationships/hyperlink" Target="mailto:iona.cunha@sgb.gov.br" TargetMode="External"/><Relationship Id="rId34" Type="http://schemas.openxmlformats.org/officeDocument/2006/relationships/hyperlink" Target="mailto:joao.larizzati@sgb.gov.br" TargetMode="External"/><Relationship Id="rId7" Type="http://schemas.openxmlformats.org/officeDocument/2006/relationships/hyperlink" Target="mailto:eduardo.marques@sgb.gov.br" TargetMode="External"/><Relationship Id="rId12" Type="http://schemas.openxmlformats.org/officeDocument/2006/relationships/hyperlink" Target="mailto:viviane.ferrari@sgb.gov.br" TargetMode="External"/><Relationship Id="rId17" Type="http://schemas.openxmlformats.org/officeDocument/2006/relationships/hyperlink" Target="mailto:regina.santos@sgb.gov.br" TargetMode="External"/><Relationship Id="rId25" Type="http://schemas.openxmlformats.org/officeDocument/2006/relationships/hyperlink" Target="mailto:michel.godoy@sgb.gov.br" TargetMode="External"/><Relationship Id="rId33" Type="http://schemas.openxmlformats.org/officeDocument/2006/relationships/hyperlink" Target="mailto:cesar.chaves@sgb.gov.br" TargetMode="External"/><Relationship Id="rId38" Type="http://schemas.openxmlformats.org/officeDocument/2006/relationships/hyperlink" Target="mailto:tercyo.pineo@sgb.gov.br" TargetMode="External"/><Relationship Id="rId2" Type="http://schemas.openxmlformats.org/officeDocument/2006/relationships/hyperlink" Target="mailto:patrick.santos@sgb.gov.br" TargetMode="External"/><Relationship Id="rId16" Type="http://schemas.openxmlformats.org/officeDocument/2006/relationships/hyperlink" Target="mailto:carlos.oliveira@sgb.gov.br" TargetMode="External"/><Relationship Id="rId20" Type="http://schemas.openxmlformats.org/officeDocument/2006/relationships/hyperlink" Target="mailto:francisco.sousa@sgb.gov.br" TargetMode="External"/><Relationship Id="rId29" Type="http://schemas.openxmlformats.org/officeDocument/2006/relationships/hyperlink" Target="mailto:valter.sobrinho@sbg.gov.br" TargetMode="External"/><Relationship Id="rId1" Type="http://schemas.openxmlformats.org/officeDocument/2006/relationships/hyperlink" Target="mailto:silvana.melo@sgb.gov.br" TargetMode="External"/><Relationship Id="rId6" Type="http://schemas.openxmlformats.org/officeDocument/2006/relationships/hyperlink" Target="mailto:douglas.silveira@sgb.gov.br" TargetMode="External"/><Relationship Id="rId11" Type="http://schemas.openxmlformats.org/officeDocument/2006/relationships/hyperlink" Target="mailto:michele.pitarello@sgb.gov.br" TargetMode="External"/><Relationship Id="rId24" Type="http://schemas.openxmlformats.org/officeDocument/2006/relationships/hyperlink" Target="mailto:julio.lombello@sgb.gov.br" TargetMode="External"/><Relationship Id="rId32" Type="http://schemas.openxmlformats.org/officeDocument/2006/relationships/hyperlink" Target="mailto:cleide.silva@sgb.gov.br" TargetMode="External"/><Relationship Id="rId37" Type="http://schemas.openxmlformats.org/officeDocument/2006/relationships/hyperlink" Target="mailto:e-mail%3Anatalia.lopes@sgb.gov.br" TargetMode="External"/><Relationship Id="rId40" Type="http://schemas.openxmlformats.org/officeDocument/2006/relationships/printerSettings" Target="../printerSettings/printerSettings3.bin"/><Relationship Id="rId5" Type="http://schemas.openxmlformats.org/officeDocument/2006/relationships/hyperlink" Target="mailto:daliane.eberhardt@sgb.gov.br" TargetMode="External"/><Relationship Id="rId15" Type="http://schemas.openxmlformats.org/officeDocument/2006/relationships/hyperlink" Target="mailto:paloma.rocha@sgb.gov.br" TargetMode="External"/><Relationship Id="rId23" Type="http://schemas.openxmlformats.org/officeDocument/2006/relationships/hyperlink" Target="mailto:joseneusa.rodrigues@sgb.gov.br" TargetMode="External"/><Relationship Id="rId28" Type="http://schemas.openxmlformats.org/officeDocument/2006/relationships/hyperlink" Target="mailto:jonatas.carneiro@sgb.gov.br" TargetMode="External"/><Relationship Id="rId36" Type="http://schemas.openxmlformats.org/officeDocument/2006/relationships/hyperlink" Target="mailto:melissa.franzen@sgb.gov.br" TargetMode="External"/><Relationship Id="rId10" Type="http://schemas.openxmlformats.org/officeDocument/2006/relationships/hyperlink" Target="mailto:marcely.neves@sgb.gov.br" TargetMode="External"/><Relationship Id="rId19" Type="http://schemas.openxmlformats.org/officeDocument/2006/relationships/hyperlink" Target="mailto:guilherme.ferreira@sgb.gov.br" TargetMode="External"/><Relationship Id="rId31" Type="http://schemas.openxmlformats.org/officeDocument/2006/relationships/hyperlink" Target="mailto:iago.costa@sgb.gov.br" TargetMode="External"/><Relationship Id="rId4" Type="http://schemas.openxmlformats.org/officeDocument/2006/relationships/hyperlink" Target="mailto:caroline.santos@sgb.gov.br" TargetMode="External"/><Relationship Id="rId9" Type="http://schemas.openxmlformats.org/officeDocument/2006/relationships/hyperlink" Target="mailto:andreia.gross@sgb.gov.br" TargetMode="External"/><Relationship Id="rId14" Type="http://schemas.openxmlformats.org/officeDocument/2006/relationships/hyperlink" Target="mailto:charles.oliveira@sgb.gov.br" TargetMode="External"/><Relationship Id="rId22" Type="http://schemas.openxmlformats.org/officeDocument/2006/relationships/hyperlink" Target="mailto:jonathan.rojas@sgb.gov.br" TargetMode="External"/><Relationship Id="rId27" Type="http://schemas.openxmlformats.org/officeDocument/2006/relationships/hyperlink" Target="mailto:edgar.iza@sgb.gov.br" TargetMode="External"/><Relationship Id="rId30" Type="http://schemas.openxmlformats.org/officeDocument/2006/relationships/hyperlink" Target="mailto:jairo.andrade@sgb.gov.br" TargetMode="External"/><Relationship Id="rId35" Type="http://schemas.openxmlformats.org/officeDocument/2006/relationships/hyperlink" Target="mailto:e-mail%3Anatalia.lopes@sgb.gov.br" TargetMode="External"/><Relationship Id="rId8" Type="http://schemas.openxmlformats.org/officeDocument/2006/relationships/hyperlink" Target="mailto:felipe.abreu@sgb.gov.br" TargetMode="External"/><Relationship Id="rId3" Type="http://schemas.openxmlformats.org/officeDocument/2006/relationships/hyperlink" Target="mailto:bruno.calado@sgb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WVO75"/>
  <sheetViews>
    <sheetView topLeftCell="A22" zoomScale="80" zoomScaleNormal="80" zoomScaleSheetLayoutView="100" workbookViewId="0">
      <selection activeCell="C48" sqref="B1:K48"/>
    </sheetView>
  </sheetViews>
  <sheetFormatPr defaultColWidth="0" defaultRowHeight="0" customHeight="1" zeroHeight="1" x14ac:dyDescent="0.25"/>
  <cols>
    <col min="1" max="1" width="1.77734375" style="5" customWidth="1"/>
    <col min="2" max="2" width="3.77734375" style="5" customWidth="1"/>
    <col min="3" max="3" width="14.21875" style="5" customWidth="1"/>
    <col min="4" max="4" width="13" style="5" customWidth="1"/>
    <col min="5" max="5" width="11.5546875" style="5" customWidth="1"/>
    <col min="6" max="6" width="10" style="5" customWidth="1"/>
    <col min="7" max="7" width="11.21875" style="5" customWidth="1"/>
    <col min="8" max="8" width="3.77734375" style="5" customWidth="1"/>
    <col min="9" max="9" width="7.21875" style="5" customWidth="1"/>
    <col min="10" max="10" width="15.5546875" style="5" customWidth="1"/>
    <col min="11" max="11" width="51.21875" style="5" customWidth="1"/>
    <col min="12" max="12" width="1.77734375" style="1" customWidth="1"/>
    <col min="13" max="241" width="9.21875" style="1" hidden="1" customWidth="1"/>
    <col min="242" max="242" width="63.21875" style="1" hidden="1" customWidth="1"/>
    <col min="243" max="243" width="24.21875" style="1" hidden="1" customWidth="1"/>
    <col min="244" max="244" width="19" style="1" hidden="1" customWidth="1"/>
    <col min="245" max="245" width="15.77734375" style="1" hidden="1" customWidth="1"/>
    <col min="246" max="247" width="16.21875" style="1" hidden="1" customWidth="1"/>
    <col min="248" max="248" width="10.44140625" style="1" hidden="1" customWidth="1"/>
    <col min="249" max="249" width="7" style="1" hidden="1" customWidth="1"/>
    <col min="250" max="250" width="8.44140625" style="1" hidden="1" customWidth="1"/>
    <col min="251" max="251" width="9.21875" style="1" hidden="1" customWidth="1"/>
    <col min="252" max="255" width="5.44140625" style="1" hidden="1" customWidth="1"/>
    <col min="256" max="256" width="13.21875" style="1" hidden="1" customWidth="1"/>
    <col min="257" max="257" width="10" style="1" hidden="1" customWidth="1"/>
    <col min="258" max="258" width="11.21875" style="1" hidden="1" customWidth="1"/>
    <col min="259" max="259" width="4.44140625" style="1" hidden="1" customWidth="1"/>
    <col min="260" max="260" width="3.77734375" style="1" hidden="1" customWidth="1"/>
    <col min="261" max="261" width="16.77734375" style="1" hidden="1" customWidth="1"/>
    <col min="262" max="262" width="37.21875" style="1" hidden="1" customWidth="1"/>
    <col min="263" max="263" width="1.77734375" style="1" hidden="1" customWidth="1"/>
    <col min="264" max="507" width="0" style="1" hidden="1"/>
    <col min="508" max="508" width="1.77734375" style="1" hidden="1" customWidth="1"/>
    <col min="509" max="509" width="1.44140625" style="1" hidden="1" customWidth="1"/>
    <col min="510" max="510" width="2.77734375" style="1" hidden="1" customWidth="1"/>
    <col min="511" max="511" width="13.77734375" style="1" hidden="1" customWidth="1"/>
    <col min="512" max="512" width="13.21875" style="1" hidden="1" customWidth="1"/>
    <col min="513" max="513" width="10" style="1" hidden="1" customWidth="1"/>
    <col min="514" max="514" width="11.21875" style="1" hidden="1" customWidth="1"/>
    <col min="515" max="515" width="4.44140625" style="1" hidden="1" customWidth="1"/>
    <col min="516" max="516" width="3.77734375" style="1" hidden="1" customWidth="1"/>
    <col min="517" max="517" width="16.77734375" style="1" hidden="1" customWidth="1"/>
    <col min="518" max="518" width="37.21875" style="1" hidden="1" customWidth="1"/>
    <col min="519" max="519" width="1.77734375" style="1" hidden="1" customWidth="1"/>
    <col min="520" max="763" width="0" style="1" hidden="1"/>
    <col min="764" max="764" width="1.77734375" style="1" hidden="1" customWidth="1"/>
    <col min="765" max="765" width="1.44140625" style="1" hidden="1" customWidth="1"/>
    <col min="766" max="766" width="2.77734375" style="1" hidden="1" customWidth="1"/>
    <col min="767" max="767" width="13.77734375" style="1" hidden="1" customWidth="1"/>
    <col min="768" max="768" width="13.21875" style="1" hidden="1" customWidth="1"/>
    <col min="769" max="769" width="10" style="1" hidden="1" customWidth="1"/>
    <col min="770" max="770" width="11.21875" style="1" hidden="1" customWidth="1"/>
    <col min="771" max="771" width="4.44140625" style="1" hidden="1" customWidth="1"/>
    <col min="772" max="772" width="3.77734375" style="1" hidden="1" customWidth="1"/>
    <col min="773" max="773" width="16.77734375" style="1" hidden="1" customWidth="1"/>
    <col min="774" max="774" width="37.21875" style="1" hidden="1" customWidth="1"/>
    <col min="775" max="775" width="1.77734375" style="1" hidden="1" customWidth="1"/>
    <col min="776" max="1019" width="0" style="1" hidden="1"/>
    <col min="1020" max="1020" width="1.77734375" style="1" hidden="1" customWidth="1"/>
    <col min="1021" max="1021" width="1.44140625" style="1" hidden="1" customWidth="1"/>
    <col min="1022" max="1022" width="2.77734375" style="1" hidden="1" customWidth="1"/>
    <col min="1023" max="1023" width="13.77734375" style="1" hidden="1" customWidth="1"/>
    <col min="1024" max="1024" width="13.21875" style="1" hidden="1" customWidth="1"/>
    <col min="1025" max="1025" width="10" style="1" hidden="1" customWidth="1"/>
    <col min="1026" max="1026" width="11.21875" style="1" hidden="1" customWidth="1"/>
    <col min="1027" max="1027" width="4.44140625" style="1" hidden="1" customWidth="1"/>
    <col min="1028" max="1028" width="3.77734375" style="1" hidden="1" customWidth="1"/>
    <col min="1029" max="1029" width="16.77734375" style="1" hidden="1" customWidth="1"/>
    <col min="1030" max="1030" width="37.21875" style="1" hidden="1" customWidth="1"/>
    <col min="1031" max="1031" width="1.77734375" style="1" hidden="1" customWidth="1"/>
    <col min="1032" max="1275" width="0" style="1" hidden="1"/>
    <col min="1276" max="1276" width="1.77734375" style="1" hidden="1" customWidth="1"/>
    <col min="1277" max="1277" width="1.44140625" style="1" hidden="1" customWidth="1"/>
    <col min="1278" max="1278" width="2.77734375" style="1" hidden="1" customWidth="1"/>
    <col min="1279" max="1279" width="13.77734375" style="1" hidden="1" customWidth="1"/>
    <col min="1280" max="1280" width="13.21875" style="1" hidden="1" customWidth="1"/>
    <col min="1281" max="1281" width="10" style="1" hidden="1" customWidth="1"/>
    <col min="1282" max="1282" width="11.21875" style="1" hidden="1" customWidth="1"/>
    <col min="1283" max="1283" width="4.44140625" style="1" hidden="1" customWidth="1"/>
    <col min="1284" max="1284" width="3.77734375" style="1" hidden="1" customWidth="1"/>
    <col min="1285" max="1285" width="16.77734375" style="1" hidden="1" customWidth="1"/>
    <col min="1286" max="1286" width="37.21875" style="1" hidden="1" customWidth="1"/>
    <col min="1287" max="1287" width="1.77734375" style="1" hidden="1" customWidth="1"/>
    <col min="1288" max="1531" width="0" style="1" hidden="1"/>
    <col min="1532" max="1532" width="1.77734375" style="1" hidden="1" customWidth="1"/>
    <col min="1533" max="1533" width="1.44140625" style="1" hidden="1" customWidth="1"/>
    <col min="1534" max="1534" width="2.77734375" style="1" hidden="1" customWidth="1"/>
    <col min="1535" max="1535" width="13.77734375" style="1" hidden="1" customWidth="1"/>
    <col min="1536" max="1536" width="13.21875" style="1" hidden="1" customWidth="1"/>
    <col min="1537" max="1537" width="10" style="1" hidden="1" customWidth="1"/>
    <col min="1538" max="1538" width="11.21875" style="1" hidden="1" customWidth="1"/>
    <col min="1539" max="1539" width="4.44140625" style="1" hidden="1" customWidth="1"/>
    <col min="1540" max="1540" width="3.77734375" style="1" hidden="1" customWidth="1"/>
    <col min="1541" max="1541" width="16.77734375" style="1" hidden="1" customWidth="1"/>
    <col min="1542" max="1542" width="37.21875" style="1" hidden="1" customWidth="1"/>
    <col min="1543" max="1543" width="1.77734375" style="1" hidden="1" customWidth="1"/>
    <col min="1544" max="1787" width="0" style="1" hidden="1"/>
    <col min="1788" max="1788" width="1.77734375" style="1" hidden="1" customWidth="1"/>
    <col min="1789" max="1789" width="1.44140625" style="1" hidden="1" customWidth="1"/>
    <col min="1790" max="1790" width="2.77734375" style="1" hidden="1" customWidth="1"/>
    <col min="1791" max="1791" width="13.77734375" style="1" hidden="1" customWidth="1"/>
    <col min="1792" max="1792" width="13.21875" style="1" hidden="1" customWidth="1"/>
    <col min="1793" max="1793" width="10" style="1" hidden="1" customWidth="1"/>
    <col min="1794" max="1794" width="11.21875" style="1" hidden="1" customWidth="1"/>
    <col min="1795" max="1795" width="4.44140625" style="1" hidden="1" customWidth="1"/>
    <col min="1796" max="1796" width="3.77734375" style="1" hidden="1" customWidth="1"/>
    <col min="1797" max="1797" width="16.77734375" style="1" hidden="1" customWidth="1"/>
    <col min="1798" max="1798" width="37.21875" style="1" hidden="1" customWidth="1"/>
    <col min="1799" max="1799" width="1.77734375" style="1" hidden="1" customWidth="1"/>
    <col min="1800" max="2043" width="0" style="1" hidden="1"/>
    <col min="2044" max="2044" width="1.77734375" style="1" hidden="1" customWidth="1"/>
    <col min="2045" max="2045" width="1.44140625" style="1" hidden="1" customWidth="1"/>
    <col min="2046" max="2046" width="2.77734375" style="1" hidden="1" customWidth="1"/>
    <col min="2047" max="2047" width="13.77734375" style="1" hidden="1" customWidth="1"/>
    <col min="2048" max="2048" width="13.21875" style="1" hidden="1" customWidth="1"/>
    <col min="2049" max="2049" width="10" style="1" hidden="1" customWidth="1"/>
    <col min="2050" max="2050" width="11.21875" style="1" hidden="1" customWidth="1"/>
    <col min="2051" max="2051" width="4.44140625" style="1" hidden="1" customWidth="1"/>
    <col min="2052" max="2052" width="3.77734375" style="1" hidden="1" customWidth="1"/>
    <col min="2053" max="2053" width="16.77734375" style="1" hidden="1" customWidth="1"/>
    <col min="2054" max="2054" width="37.21875" style="1" hidden="1" customWidth="1"/>
    <col min="2055" max="2055" width="1.77734375" style="1" hidden="1" customWidth="1"/>
    <col min="2056" max="2299" width="0" style="1" hidden="1"/>
    <col min="2300" max="2300" width="1.77734375" style="1" hidden="1" customWidth="1"/>
    <col min="2301" max="2301" width="1.44140625" style="1" hidden="1" customWidth="1"/>
    <col min="2302" max="2302" width="2.77734375" style="1" hidden="1" customWidth="1"/>
    <col min="2303" max="2303" width="13.77734375" style="1" hidden="1" customWidth="1"/>
    <col min="2304" max="2304" width="13.21875" style="1" hidden="1" customWidth="1"/>
    <col min="2305" max="2305" width="10" style="1" hidden="1" customWidth="1"/>
    <col min="2306" max="2306" width="11.21875" style="1" hidden="1" customWidth="1"/>
    <col min="2307" max="2307" width="4.44140625" style="1" hidden="1" customWidth="1"/>
    <col min="2308" max="2308" width="3.77734375" style="1" hidden="1" customWidth="1"/>
    <col min="2309" max="2309" width="16.77734375" style="1" hidden="1" customWidth="1"/>
    <col min="2310" max="2310" width="37.21875" style="1" hidden="1" customWidth="1"/>
    <col min="2311" max="2311" width="1.77734375" style="1" hidden="1" customWidth="1"/>
    <col min="2312" max="2555" width="0" style="1" hidden="1"/>
    <col min="2556" max="2556" width="1.77734375" style="1" hidden="1" customWidth="1"/>
    <col min="2557" max="2557" width="1.44140625" style="1" hidden="1" customWidth="1"/>
    <col min="2558" max="2558" width="2.77734375" style="1" hidden="1" customWidth="1"/>
    <col min="2559" max="2559" width="13.77734375" style="1" hidden="1" customWidth="1"/>
    <col min="2560" max="2560" width="13.21875" style="1" hidden="1" customWidth="1"/>
    <col min="2561" max="2561" width="10" style="1" hidden="1" customWidth="1"/>
    <col min="2562" max="2562" width="11.21875" style="1" hidden="1" customWidth="1"/>
    <col min="2563" max="2563" width="4.44140625" style="1" hidden="1" customWidth="1"/>
    <col min="2564" max="2564" width="3.77734375" style="1" hidden="1" customWidth="1"/>
    <col min="2565" max="2565" width="16.77734375" style="1" hidden="1" customWidth="1"/>
    <col min="2566" max="2566" width="37.21875" style="1" hidden="1" customWidth="1"/>
    <col min="2567" max="2567" width="1.77734375" style="1" hidden="1" customWidth="1"/>
    <col min="2568" max="2811" width="0" style="1" hidden="1"/>
    <col min="2812" max="2812" width="1.77734375" style="1" hidden="1" customWidth="1"/>
    <col min="2813" max="2813" width="1.44140625" style="1" hidden="1" customWidth="1"/>
    <col min="2814" max="2814" width="2.77734375" style="1" hidden="1" customWidth="1"/>
    <col min="2815" max="2815" width="13.77734375" style="1" hidden="1" customWidth="1"/>
    <col min="2816" max="2816" width="13.21875" style="1" hidden="1" customWidth="1"/>
    <col min="2817" max="2817" width="10" style="1" hidden="1" customWidth="1"/>
    <col min="2818" max="2818" width="11.21875" style="1" hidden="1" customWidth="1"/>
    <col min="2819" max="2819" width="4.44140625" style="1" hidden="1" customWidth="1"/>
    <col min="2820" max="2820" width="3.77734375" style="1" hidden="1" customWidth="1"/>
    <col min="2821" max="2821" width="16.77734375" style="1" hidden="1" customWidth="1"/>
    <col min="2822" max="2822" width="37.21875" style="1" hidden="1" customWidth="1"/>
    <col min="2823" max="2823" width="1.77734375" style="1" hidden="1" customWidth="1"/>
    <col min="2824" max="3067" width="0" style="1" hidden="1"/>
    <col min="3068" max="3068" width="1.77734375" style="1" hidden="1" customWidth="1"/>
    <col min="3069" max="3069" width="1.44140625" style="1" hidden="1" customWidth="1"/>
    <col min="3070" max="3070" width="2.77734375" style="1" hidden="1" customWidth="1"/>
    <col min="3071" max="3071" width="13.77734375" style="1" hidden="1" customWidth="1"/>
    <col min="3072" max="3072" width="13.21875" style="1" hidden="1" customWidth="1"/>
    <col min="3073" max="3073" width="10" style="1" hidden="1" customWidth="1"/>
    <col min="3074" max="3074" width="11.21875" style="1" hidden="1" customWidth="1"/>
    <col min="3075" max="3075" width="4.44140625" style="1" hidden="1" customWidth="1"/>
    <col min="3076" max="3076" width="3.77734375" style="1" hidden="1" customWidth="1"/>
    <col min="3077" max="3077" width="16.77734375" style="1" hidden="1" customWidth="1"/>
    <col min="3078" max="3078" width="37.21875" style="1" hidden="1" customWidth="1"/>
    <col min="3079" max="3079" width="1.77734375" style="1" hidden="1" customWidth="1"/>
    <col min="3080" max="3323" width="0" style="1" hidden="1"/>
    <col min="3324" max="3324" width="1.77734375" style="1" hidden="1" customWidth="1"/>
    <col min="3325" max="3325" width="1.44140625" style="1" hidden="1" customWidth="1"/>
    <col min="3326" max="3326" width="2.77734375" style="1" hidden="1" customWidth="1"/>
    <col min="3327" max="3327" width="13.77734375" style="1" hidden="1" customWidth="1"/>
    <col min="3328" max="3328" width="13.21875" style="1" hidden="1" customWidth="1"/>
    <col min="3329" max="3329" width="10" style="1" hidden="1" customWidth="1"/>
    <col min="3330" max="3330" width="11.21875" style="1" hidden="1" customWidth="1"/>
    <col min="3331" max="3331" width="4.44140625" style="1" hidden="1" customWidth="1"/>
    <col min="3332" max="3332" width="3.77734375" style="1" hidden="1" customWidth="1"/>
    <col min="3333" max="3333" width="16.77734375" style="1" hidden="1" customWidth="1"/>
    <col min="3334" max="3334" width="37.21875" style="1" hidden="1" customWidth="1"/>
    <col min="3335" max="3335" width="1.77734375" style="1" hidden="1" customWidth="1"/>
    <col min="3336" max="3579" width="0" style="1" hidden="1"/>
    <col min="3580" max="3580" width="1.77734375" style="1" hidden="1" customWidth="1"/>
    <col min="3581" max="3581" width="1.44140625" style="1" hidden="1" customWidth="1"/>
    <col min="3582" max="3582" width="2.77734375" style="1" hidden="1" customWidth="1"/>
    <col min="3583" max="3583" width="13.77734375" style="1" hidden="1" customWidth="1"/>
    <col min="3584" max="3584" width="13.21875" style="1" hidden="1" customWidth="1"/>
    <col min="3585" max="3585" width="10" style="1" hidden="1" customWidth="1"/>
    <col min="3586" max="3586" width="11.21875" style="1" hidden="1" customWidth="1"/>
    <col min="3587" max="3587" width="4.44140625" style="1" hidden="1" customWidth="1"/>
    <col min="3588" max="3588" width="3.77734375" style="1" hidden="1" customWidth="1"/>
    <col min="3589" max="3589" width="16.77734375" style="1" hidden="1" customWidth="1"/>
    <col min="3590" max="3590" width="37.21875" style="1" hidden="1" customWidth="1"/>
    <col min="3591" max="3591" width="1.77734375" style="1" hidden="1" customWidth="1"/>
    <col min="3592" max="3835" width="0" style="1" hidden="1"/>
    <col min="3836" max="3836" width="1.77734375" style="1" hidden="1" customWidth="1"/>
    <col min="3837" max="3837" width="1.44140625" style="1" hidden="1" customWidth="1"/>
    <col min="3838" max="3838" width="2.77734375" style="1" hidden="1" customWidth="1"/>
    <col min="3839" max="3839" width="13.77734375" style="1" hidden="1" customWidth="1"/>
    <col min="3840" max="3840" width="13.21875" style="1" hidden="1" customWidth="1"/>
    <col min="3841" max="3841" width="10" style="1" hidden="1" customWidth="1"/>
    <col min="3842" max="3842" width="11.21875" style="1" hidden="1" customWidth="1"/>
    <col min="3843" max="3843" width="4.44140625" style="1" hidden="1" customWidth="1"/>
    <col min="3844" max="3844" width="3.77734375" style="1" hidden="1" customWidth="1"/>
    <col min="3845" max="3845" width="16.77734375" style="1" hidden="1" customWidth="1"/>
    <col min="3846" max="3846" width="37.21875" style="1" hidden="1" customWidth="1"/>
    <col min="3847" max="3847" width="1.77734375" style="1" hidden="1" customWidth="1"/>
    <col min="3848" max="4091" width="0" style="1" hidden="1"/>
    <col min="4092" max="4092" width="1.77734375" style="1" hidden="1" customWidth="1"/>
    <col min="4093" max="4093" width="1.44140625" style="1" hidden="1" customWidth="1"/>
    <col min="4094" max="4094" width="2.77734375" style="1" hidden="1" customWidth="1"/>
    <col min="4095" max="4095" width="13.77734375" style="1" hidden="1" customWidth="1"/>
    <col min="4096" max="4096" width="13.21875" style="1" hidden="1" customWidth="1"/>
    <col min="4097" max="4097" width="10" style="1" hidden="1" customWidth="1"/>
    <col min="4098" max="4098" width="11.21875" style="1" hidden="1" customWidth="1"/>
    <col min="4099" max="4099" width="4.44140625" style="1" hidden="1" customWidth="1"/>
    <col min="4100" max="4100" width="3.77734375" style="1" hidden="1" customWidth="1"/>
    <col min="4101" max="4101" width="16.77734375" style="1" hidden="1" customWidth="1"/>
    <col min="4102" max="4102" width="37.21875" style="1" hidden="1" customWidth="1"/>
    <col min="4103" max="4103" width="1.77734375" style="1" hidden="1" customWidth="1"/>
    <col min="4104" max="4347" width="0" style="1" hidden="1"/>
    <col min="4348" max="4348" width="1.77734375" style="1" hidden="1" customWidth="1"/>
    <col min="4349" max="4349" width="1.44140625" style="1" hidden="1" customWidth="1"/>
    <col min="4350" max="4350" width="2.77734375" style="1" hidden="1" customWidth="1"/>
    <col min="4351" max="4351" width="13.77734375" style="1" hidden="1" customWidth="1"/>
    <col min="4352" max="4352" width="13.21875" style="1" hidden="1" customWidth="1"/>
    <col min="4353" max="4353" width="10" style="1" hidden="1" customWidth="1"/>
    <col min="4354" max="4354" width="11.21875" style="1" hidden="1" customWidth="1"/>
    <col min="4355" max="4355" width="4.44140625" style="1" hidden="1" customWidth="1"/>
    <col min="4356" max="4356" width="3.77734375" style="1" hidden="1" customWidth="1"/>
    <col min="4357" max="4357" width="16.77734375" style="1" hidden="1" customWidth="1"/>
    <col min="4358" max="4358" width="37.21875" style="1" hidden="1" customWidth="1"/>
    <col min="4359" max="4359" width="1.77734375" style="1" hidden="1" customWidth="1"/>
    <col min="4360" max="4603" width="0" style="1" hidden="1"/>
    <col min="4604" max="4604" width="1.77734375" style="1" hidden="1" customWidth="1"/>
    <col min="4605" max="4605" width="1.44140625" style="1" hidden="1" customWidth="1"/>
    <col min="4606" max="4606" width="2.77734375" style="1" hidden="1" customWidth="1"/>
    <col min="4607" max="4607" width="13.77734375" style="1" hidden="1" customWidth="1"/>
    <col min="4608" max="4608" width="13.21875" style="1" hidden="1" customWidth="1"/>
    <col min="4609" max="4609" width="10" style="1" hidden="1" customWidth="1"/>
    <col min="4610" max="4610" width="11.21875" style="1" hidden="1" customWidth="1"/>
    <col min="4611" max="4611" width="4.44140625" style="1" hidden="1" customWidth="1"/>
    <col min="4612" max="4612" width="3.77734375" style="1" hidden="1" customWidth="1"/>
    <col min="4613" max="4613" width="16.77734375" style="1" hidden="1" customWidth="1"/>
    <col min="4614" max="4614" width="37.21875" style="1" hidden="1" customWidth="1"/>
    <col min="4615" max="4615" width="1.77734375" style="1" hidden="1" customWidth="1"/>
    <col min="4616" max="4859" width="0" style="1" hidden="1"/>
    <col min="4860" max="4860" width="1.77734375" style="1" hidden="1" customWidth="1"/>
    <col min="4861" max="4861" width="1.44140625" style="1" hidden="1" customWidth="1"/>
    <col min="4862" max="4862" width="2.77734375" style="1" hidden="1" customWidth="1"/>
    <col min="4863" max="4863" width="13.77734375" style="1" hidden="1" customWidth="1"/>
    <col min="4864" max="4864" width="13.21875" style="1" hidden="1" customWidth="1"/>
    <col min="4865" max="4865" width="10" style="1" hidden="1" customWidth="1"/>
    <col min="4866" max="4866" width="11.21875" style="1" hidden="1" customWidth="1"/>
    <col min="4867" max="4867" width="4.44140625" style="1" hidden="1" customWidth="1"/>
    <col min="4868" max="4868" width="3.77734375" style="1" hidden="1" customWidth="1"/>
    <col min="4869" max="4869" width="16.77734375" style="1" hidden="1" customWidth="1"/>
    <col min="4870" max="4870" width="37.21875" style="1" hidden="1" customWidth="1"/>
    <col min="4871" max="4871" width="1.77734375" style="1" hidden="1" customWidth="1"/>
    <col min="4872" max="5115" width="0" style="1" hidden="1"/>
    <col min="5116" max="5116" width="1.77734375" style="1" hidden="1" customWidth="1"/>
    <col min="5117" max="5117" width="1.44140625" style="1" hidden="1" customWidth="1"/>
    <col min="5118" max="5118" width="2.77734375" style="1" hidden="1" customWidth="1"/>
    <col min="5119" max="5119" width="13.77734375" style="1" hidden="1" customWidth="1"/>
    <col min="5120" max="5120" width="13.21875" style="1" hidden="1" customWidth="1"/>
    <col min="5121" max="5121" width="10" style="1" hidden="1" customWidth="1"/>
    <col min="5122" max="5122" width="11.21875" style="1" hidden="1" customWidth="1"/>
    <col min="5123" max="5123" width="4.44140625" style="1" hidden="1" customWidth="1"/>
    <col min="5124" max="5124" width="3.77734375" style="1" hidden="1" customWidth="1"/>
    <col min="5125" max="5125" width="16.77734375" style="1" hidden="1" customWidth="1"/>
    <col min="5126" max="5126" width="37.21875" style="1" hidden="1" customWidth="1"/>
    <col min="5127" max="5127" width="1.77734375" style="1" hidden="1" customWidth="1"/>
    <col min="5128" max="5371" width="0" style="1" hidden="1"/>
    <col min="5372" max="5372" width="1.77734375" style="1" hidden="1" customWidth="1"/>
    <col min="5373" max="5373" width="1.44140625" style="1" hidden="1" customWidth="1"/>
    <col min="5374" max="5374" width="2.77734375" style="1" hidden="1" customWidth="1"/>
    <col min="5375" max="5375" width="13.77734375" style="1" hidden="1" customWidth="1"/>
    <col min="5376" max="5376" width="13.21875" style="1" hidden="1" customWidth="1"/>
    <col min="5377" max="5377" width="10" style="1" hidden="1" customWidth="1"/>
    <col min="5378" max="5378" width="11.21875" style="1" hidden="1" customWidth="1"/>
    <col min="5379" max="5379" width="4.44140625" style="1" hidden="1" customWidth="1"/>
    <col min="5380" max="5380" width="3.77734375" style="1" hidden="1" customWidth="1"/>
    <col min="5381" max="5381" width="16.77734375" style="1" hidden="1" customWidth="1"/>
    <col min="5382" max="5382" width="37.21875" style="1" hidden="1" customWidth="1"/>
    <col min="5383" max="5383" width="1.77734375" style="1" hidden="1" customWidth="1"/>
    <col min="5384" max="5627" width="0" style="1" hidden="1"/>
    <col min="5628" max="5628" width="1.77734375" style="1" hidden="1" customWidth="1"/>
    <col min="5629" max="5629" width="1.44140625" style="1" hidden="1" customWidth="1"/>
    <col min="5630" max="5630" width="2.77734375" style="1" hidden="1" customWidth="1"/>
    <col min="5631" max="5631" width="13.77734375" style="1" hidden="1" customWidth="1"/>
    <col min="5632" max="5632" width="13.21875" style="1" hidden="1" customWidth="1"/>
    <col min="5633" max="5633" width="10" style="1" hidden="1" customWidth="1"/>
    <col min="5634" max="5634" width="11.21875" style="1" hidden="1" customWidth="1"/>
    <col min="5635" max="5635" width="4.44140625" style="1" hidden="1" customWidth="1"/>
    <col min="5636" max="5636" width="3.77734375" style="1" hidden="1" customWidth="1"/>
    <col min="5637" max="5637" width="16.77734375" style="1" hidden="1" customWidth="1"/>
    <col min="5638" max="5638" width="37.21875" style="1" hidden="1" customWidth="1"/>
    <col min="5639" max="5639" width="1.77734375" style="1" hidden="1" customWidth="1"/>
    <col min="5640" max="5883" width="0" style="1" hidden="1"/>
    <col min="5884" max="5884" width="1.77734375" style="1" hidden="1" customWidth="1"/>
    <col min="5885" max="5885" width="1.44140625" style="1" hidden="1" customWidth="1"/>
    <col min="5886" max="5886" width="2.77734375" style="1" hidden="1" customWidth="1"/>
    <col min="5887" max="5887" width="13.77734375" style="1" hidden="1" customWidth="1"/>
    <col min="5888" max="5888" width="13.21875" style="1" hidden="1" customWidth="1"/>
    <col min="5889" max="5889" width="10" style="1" hidden="1" customWidth="1"/>
    <col min="5890" max="5890" width="11.21875" style="1" hidden="1" customWidth="1"/>
    <col min="5891" max="5891" width="4.44140625" style="1" hidden="1" customWidth="1"/>
    <col min="5892" max="5892" width="3.77734375" style="1" hidden="1" customWidth="1"/>
    <col min="5893" max="5893" width="16.77734375" style="1" hidden="1" customWidth="1"/>
    <col min="5894" max="5894" width="37.21875" style="1" hidden="1" customWidth="1"/>
    <col min="5895" max="5895" width="1.77734375" style="1" hidden="1" customWidth="1"/>
    <col min="5896" max="6139" width="0" style="1" hidden="1"/>
    <col min="6140" max="6140" width="1.77734375" style="1" hidden="1" customWidth="1"/>
    <col min="6141" max="6141" width="1.44140625" style="1" hidden="1" customWidth="1"/>
    <col min="6142" max="6142" width="2.77734375" style="1" hidden="1" customWidth="1"/>
    <col min="6143" max="6143" width="13.77734375" style="1" hidden="1" customWidth="1"/>
    <col min="6144" max="6144" width="13.21875" style="1" hidden="1" customWidth="1"/>
    <col min="6145" max="6145" width="10" style="1" hidden="1" customWidth="1"/>
    <col min="6146" max="6146" width="11.21875" style="1" hidden="1" customWidth="1"/>
    <col min="6147" max="6147" width="4.44140625" style="1" hidden="1" customWidth="1"/>
    <col min="6148" max="6148" width="3.77734375" style="1" hidden="1" customWidth="1"/>
    <col min="6149" max="6149" width="16.77734375" style="1" hidden="1" customWidth="1"/>
    <col min="6150" max="6150" width="37.21875" style="1" hidden="1" customWidth="1"/>
    <col min="6151" max="6151" width="1.77734375" style="1" hidden="1" customWidth="1"/>
    <col min="6152" max="6395" width="0" style="1" hidden="1"/>
    <col min="6396" max="6396" width="1.77734375" style="1" hidden="1" customWidth="1"/>
    <col min="6397" max="6397" width="1.44140625" style="1" hidden="1" customWidth="1"/>
    <col min="6398" max="6398" width="2.77734375" style="1" hidden="1" customWidth="1"/>
    <col min="6399" max="6399" width="13.77734375" style="1" hidden="1" customWidth="1"/>
    <col min="6400" max="6400" width="13.21875" style="1" hidden="1" customWidth="1"/>
    <col min="6401" max="6401" width="10" style="1" hidden="1" customWidth="1"/>
    <col min="6402" max="6402" width="11.21875" style="1" hidden="1" customWidth="1"/>
    <col min="6403" max="6403" width="4.44140625" style="1" hidden="1" customWidth="1"/>
    <col min="6404" max="6404" width="3.77734375" style="1" hidden="1" customWidth="1"/>
    <col min="6405" max="6405" width="16.77734375" style="1" hidden="1" customWidth="1"/>
    <col min="6406" max="6406" width="37.21875" style="1" hidden="1" customWidth="1"/>
    <col min="6407" max="6407" width="1.77734375" style="1" hidden="1" customWidth="1"/>
    <col min="6408" max="6651" width="0" style="1" hidden="1"/>
    <col min="6652" max="6652" width="1.77734375" style="1" hidden="1" customWidth="1"/>
    <col min="6653" max="6653" width="1.44140625" style="1" hidden="1" customWidth="1"/>
    <col min="6654" max="6654" width="2.77734375" style="1" hidden="1" customWidth="1"/>
    <col min="6655" max="6655" width="13.77734375" style="1" hidden="1" customWidth="1"/>
    <col min="6656" max="6656" width="13.21875" style="1" hidden="1" customWidth="1"/>
    <col min="6657" max="6657" width="10" style="1" hidden="1" customWidth="1"/>
    <col min="6658" max="6658" width="11.21875" style="1" hidden="1" customWidth="1"/>
    <col min="6659" max="6659" width="4.44140625" style="1" hidden="1" customWidth="1"/>
    <col min="6660" max="6660" width="3.77734375" style="1" hidden="1" customWidth="1"/>
    <col min="6661" max="6661" width="16.77734375" style="1" hidden="1" customWidth="1"/>
    <col min="6662" max="6662" width="37.21875" style="1" hidden="1" customWidth="1"/>
    <col min="6663" max="6663" width="1.77734375" style="1" hidden="1" customWidth="1"/>
    <col min="6664" max="6907" width="0" style="1" hidden="1"/>
    <col min="6908" max="6908" width="1.77734375" style="1" hidden="1" customWidth="1"/>
    <col min="6909" max="6909" width="1.44140625" style="1" hidden="1" customWidth="1"/>
    <col min="6910" max="6910" width="2.77734375" style="1" hidden="1" customWidth="1"/>
    <col min="6911" max="6911" width="13.77734375" style="1" hidden="1" customWidth="1"/>
    <col min="6912" max="6912" width="13.21875" style="1" hidden="1" customWidth="1"/>
    <col min="6913" max="6913" width="10" style="1" hidden="1" customWidth="1"/>
    <col min="6914" max="6914" width="11.21875" style="1" hidden="1" customWidth="1"/>
    <col min="6915" max="6915" width="4.44140625" style="1" hidden="1" customWidth="1"/>
    <col min="6916" max="6916" width="3.77734375" style="1" hidden="1" customWidth="1"/>
    <col min="6917" max="6917" width="16.77734375" style="1" hidden="1" customWidth="1"/>
    <col min="6918" max="6918" width="37.21875" style="1" hidden="1" customWidth="1"/>
    <col min="6919" max="6919" width="1.77734375" style="1" hidden="1" customWidth="1"/>
    <col min="6920" max="7163" width="0" style="1" hidden="1"/>
    <col min="7164" max="7164" width="1.77734375" style="1" hidden="1" customWidth="1"/>
    <col min="7165" max="7165" width="1.44140625" style="1" hidden="1" customWidth="1"/>
    <col min="7166" max="7166" width="2.77734375" style="1" hidden="1" customWidth="1"/>
    <col min="7167" max="7167" width="13.77734375" style="1" hidden="1" customWidth="1"/>
    <col min="7168" max="7168" width="13.21875" style="1" hidden="1" customWidth="1"/>
    <col min="7169" max="7169" width="10" style="1" hidden="1" customWidth="1"/>
    <col min="7170" max="7170" width="11.21875" style="1" hidden="1" customWidth="1"/>
    <col min="7171" max="7171" width="4.44140625" style="1" hidden="1" customWidth="1"/>
    <col min="7172" max="7172" width="3.77734375" style="1" hidden="1" customWidth="1"/>
    <col min="7173" max="7173" width="16.77734375" style="1" hidden="1" customWidth="1"/>
    <col min="7174" max="7174" width="37.21875" style="1" hidden="1" customWidth="1"/>
    <col min="7175" max="7175" width="1.77734375" style="1" hidden="1" customWidth="1"/>
    <col min="7176" max="7419" width="0" style="1" hidden="1"/>
    <col min="7420" max="7420" width="1.77734375" style="1" hidden="1" customWidth="1"/>
    <col min="7421" max="7421" width="1.44140625" style="1" hidden="1" customWidth="1"/>
    <col min="7422" max="7422" width="2.77734375" style="1" hidden="1" customWidth="1"/>
    <col min="7423" max="7423" width="13.77734375" style="1" hidden="1" customWidth="1"/>
    <col min="7424" max="7424" width="13.21875" style="1" hidden="1" customWidth="1"/>
    <col min="7425" max="7425" width="10" style="1" hidden="1" customWidth="1"/>
    <col min="7426" max="7426" width="11.21875" style="1" hidden="1" customWidth="1"/>
    <col min="7427" max="7427" width="4.44140625" style="1" hidden="1" customWidth="1"/>
    <col min="7428" max="7428" width="3.77734375" style="1" hidden="1" customWidth="1"/>
    <col min="7429" max="7429" width="16.77734375" style="1" hidden="1" customWidth="1"/>
    <col min="7430" max="7430" width="37.21875" style="1" hidden="1" customWidth="1"/>
    <col min="7431" max="7431" width="1.77734375" style="1" hidden="1" customWidth="1"/>
    <col min="7432" max="7675" width="0" style="1" hidden="1"/>
    <col min="7676" max="7676" width="1.77734375" style="1" hidden="1" customWidth="1"/>
    <col min="7677" max="7677" width="1.44140625" style="1" hidden="1" customWidth="1"/>
    <col min="7678" max="7678" width="2.77734375" style="1" hidden="1" customWidth="1"/>
    <col min="7679" max="7679" width="13.77734375" style="1" hidden="1" customWidth="1"/>
    <col min="7680" max="7680" width="13.21875" style="1" hidden="1" customWidth="1"/>
    <col min="7681" max="7681" width="10" style="1" hidden="1" customWidth="1"/>
    <col min="7682" max="7682" width="11.21875" style="1" hidden="1" customWidth="1"/>
    <col min="7683" max="7683" width="4.44140625" style="1" hidden="1" customWidth="1"/>
    <col min="7684" max="7684" width="3.77734375" style="1" hidden="1" customWidth="1"/>
    <col min="7685" max="7685" width="16.77734375" style="1" hidden="1" customWidth="1"/>
    <col min="7686" max="7686" width="37.21875" style="1" hidden="1" customWidth="1"/>
    <col min="7687" max="7687" width="1.77734375" style="1" hidden="1" customWidth="1"/>
    <col min="7688" max="7931" width="0" style="1" hidden="1"/>
    <col min="7932" max="7932" width="1.77734375" style="1" hidden="1" customWidth="1"/>
    <col min="7933" max="7933" width="1.44140625" style="1" hidden="1" customWidth="1"/>
    <col min="7934" max="7934" width="2.77734375" style="1" hidden="1" customWidth="1"/>
    <col min="7935" max="7935" width="13.77734375" style="1" hidden="1" customWidth="1"/>
    <col min="7936" max="7936" width="13.21875" style="1" hidden="1" customWidth="1"/>
    <col min="7937" max="7937" width="10" style="1" hidden="1" customWidth="1"/>
    <col min="7938" max="7938" width="11.21875" style="1" hidden="1" customWidth="1"/>
    <col min="7939" max="7939" width="4.44140625" style="1" hidden="1" customWidth="1"/>
    <col min="7940" max="7940" width="3.77734375" style="1" hidden="1" customWidth="1"/>
    <col min="7941" max="7941" width="16.77734375" style="1" hidden="1" customWidth="1"/>
    <col min="7942" max="7942" width="37.21875" style="1" hidden="1" customWidth="1"/>
    <col min="7943" max="7943" width="1.77734375" style="1" hidden="1" customWidth="1"/>
    <col min="7944" max="8187" width="0" style="1" hidden="1"/>
    <col min="8188" max="8188" width="1.77734375" style="1" hidden="1" customWidth="1"/>
    <col min="8189" max="8189" width="1.44140625" style="1" hidden="1" customWidth="1"/>
    <col min="8190" max="8190" width="2.77734375" style="1" hidden="1" customWidth="1"/>
    <col min="8191" max="8191" width="13.77734375" style="1" hidden="1" customWidth="1"/>
    <col min="8192" max="8192" width="13.21875" style="1" hidden="1" customWidth="1"/>
    <col min="8193" max="8193" width="10" style="1" hidden="1" customWidth="1"/>
    <col min="8194" max="8194" width="11.21875" style="1" hidden="1" customWidth="1"/>
    <col min="8195" max="8195" width="4.44140625" style="1" hidden="1" customWidth="1"/>
    <col min="8196" max="8196" width="3.77734375" style="1" hidden="1" customWidth="1"/>
    <col min="8197" max="8197" width="16.77734375" style="1" hidden="1" customWidth="1"/>
    <col min="8198" max="8198" width="37.21875" style="1" hidden="1" customWidth="1"/>
    <col min="8199" max="8199" width="1.77734375" style="1" hidden="1" customWidth="1"/>
    <col min="8200" max="8443" width="0" style="1" hidden="1"/>
    <col min="8444" max="8444" width="1.77734375" style="1" hidden="1" customWidth="1"/>
    <col min="8445" max="8445" width="1.44140625" style="1" hidden="1" customWidth="1"/>
    <col min="8446" max="8446" width="2.77734375" style="1" hidden="1" customWidth="1"/>
    <col min="8447" max="8447" width="13.77734375" style="1" hidden="1" customWidth="1"/>
    <col min="8448" max="8448" width="13.21875" style="1" hidden="1" customWidth="1"/>
    <col min="8449" max="8449" width="10" style="1" hidden="1" customWidth="1"/>
    <col min="8450" max="8450" width="11.21875" style="1" hidden="1" customWidth="1"/>
    <col min="8451" max="8451" width="4.44140625" style="1" hidden="1" customWidth="1"/>
    <col min="8452" max="8452" width="3.77734375" style="1" hidden="1" customWidth="1"/>
    <col min="8453" max="8453" width="16.77734375" style="1" hidden="1" customWidth="1"/>
    <col min="8454" max="8454" width="37.21875" style="1" hidden="1" customWidth="1"/>
    <col min="8455" max="8455" width="1.77734375" style="1" hidden="1" customWidth="1"/>
    <col min="8456" max="8699" width="0" style="1" hidden="1"/>
    <col min="8700" max="8700" width="1.77734375" style="1" hidden="1" customWidth="1"/>
    <col min="8701" max="8701" width="1.44140625" style="1" hidden="1" customWidth="1"/>
    <col min="8702" max="8702" width="2.77734375" style="1" hidden="1" customWidth="1"/>
    <col min="8703" max="8703" width="13.77734375" style="1" hidden="1" customWidth="1"/>
    <col min="8704" max="8704" width="13.21875" style="1" hidden="1" customWidth="1"/>
    <col min="8705" max="8705" width="10" style="1" hidden="1" customWidth="1"/>
    <col min="8706" max="8706" width="11.21875" style="1" hidden="1" customWidth="1"/>
    <col min="8707" max="8707" width="4.44140625" style="1" hidden="1" customWidth="1"/>
    <col min="8708" max="8708" width="3.77734375" style="1" hidden="1" customWidth="1"/>
    <col min="8709" max="8709" width="16.77734375" style="1" hidden="1" customWidth="1"/>
    <col min="8710" max="8710" width="37.21875" style="1" hidden="1" customWidth="1"/>
    <col min="8711" max="8711" width="1.77734375" style="1" hidden="1" customWidth="1"/>
    <col min="8712" max="8955" width="0" style="1" hidden="1"/>
    <col min="8956" max="8956" width="1.77734375" style="1" hidden="1" customWidth="1"/>
    <col min="8957" max="8957" width="1.44140625" style="1" hidden="1" customWidth="1"/>
    <col min="8958" max="8958" width="2.77734375" style="1" hidden="1" customWidth="1"/>
    <col min="8959" max="8959" width="13.77734375" style="1" hidden="1" customWidth="1"/>
    <col min="8960" max="8960" width="13.21875" style="1" hidden="1" customWidth="1"/>
    <col min="8961" max="8961" width="10" style="1" hidden="1" customWidth="1"/>
    <col min="8962" max="8962" width="11.21875" style="1" hidden="1" customWidth="1"/>
    <col min="8963" max="8963" width="4.44140625" style="1" hidden="1" customWidth="1"/>
    <col min="8964" max="8964" width="3.77734375" style="1" hidden="1" customWidth="1"/>
    <col min="8965" max="8965" width="16.77734375" style="1" hidden="1" customWidth="1"/>
    <col min="8966" max="8966" width="37.21875" style="1" hidden="1" customWidth="1"/>
    <col min="8967" max="8967" width="1.77734375" style="1" hidden="1" customWidth="1"/>
    <col min="8968" max="9211" width="0" style="1" hidden="1"/>
    <col min="9212" max="9212" width="1.77734375" style="1" hidden="1" customWidth="1"/>
    <col min="9213" max="9213" width="1.44140625" style="1" hidden="1" customWidth="1"/>
    <col min="9214" max="9214" width="2.77734375" style="1" hidden="1" customWidth="1"/>
    <col min="9215" max="9215" width="13.77734375" style="1" hidden="1" customWidth="1"/>
    <col min="9216" max="9216" width="13.21875" style="1" hidden="1" customWidth="1"/>
    <col min="9217" max="9217" width="10" style="1" hidden="1" customWidth="1"/>
    <col min="9218" max="9218" width="11.21875" style="1" hidden="1" customWidth="1"/>
    <col min="9219" max="9219" width="4.44140625" style="1" hidden="1" customWidth="1"/>
    <col min="9220" max="9220" width="3.77734375" style="1" hidden="1" customWidth="1"/>
    <col min="9221" max="9221" width="16.77734375" style="1" hidden="1" customWidth="1"/>
    <col min="9222" max="9222" width="37.21875" style="1" hidden="1" customWidth="1"/>
    <col min="9223" max="9223" width="1.77734375" style="1" hidden="1" customWidth="1"/>
    <col min="9224" max="9467" width="0" style="1" hidden="1"/>
    <col min="9468" max="9468" width="1.77734375" style="1" hidden="1" customWidth="1"/>
    <col min="9469" max="9469" width="1.44140625" style="1" hidden="1" customWidth="1"/>
    <col min="9470" max="9470" width="2.77734375" style="1" hidden="1" customWidth="1"/>
    <col min="9471" max="9471" width="13.77734375" style="1" hidden="1" customWidth="1"/>
    <col min="9472" max="9472" width="13.21875" style="1" hidden="1" customWidth="1"/>
    <col min="9473" max="9473" width="10" style="1" hidden="1" customWidth="1"/>
    <col min="9474" max="9474" width="11.21875" style="1" hidden="1" customWidth="1"/>
    <col min="9475" max="9475" width="4.44140625" style="1" hidden="1" customWidth="1"/>
    <col min="9476" max="9476" width="3.77734375" style="1" hidden="1" customWidth="1"/>
    <col min="9477" max="9477" width="16.77734375" style="1" hidden="1" customWidth="1"/>
    <col min="9478" max="9478" width="37.21875" style="1" hidden="1" customWidth="1"/>
    <col min="9479" max="9479" width="1.77734375" style="1" hidden="1" customWidth="1"/>
    <col min="9480" max="9723" width="0" style="1" hidden="1"/>
    <col min="9724" max="9724" width="1.77734375" style="1" hidden="1" customWidth="1"/>
    <col min="9725" max="9725" width="1.44140625" style="1" hidden="1" customWidth="1"/>
    <col min="9726" max="9726" width="2.77734375" style="1" hidden="1" customWidth="1"/>
    <col min="9727" max="9727" width="13.77734375" style="1" hidden="1" customWidth="1"/>
    <col min="9728" max="9728" width="13.21875" style="1" hidden="1" customWidth="1"/>
    <col min="9729" max="9729" width="10" style="1" hidden="1" customWidth="1"/>
    <col min="9730" max="9730" width="11.21875" style="1" hidden="1" customWidth="1"/>
    <col min="9731" max="9731" width="4.44140625" style="1" hidden="1" customWidth="1"/>
    <col min="9732" max="9732" width="3.77734375" style="1" hidden="1" customWidth="1"/>
    <col min="9733" max="9733" width="16.77734375" style="1" hidden="1" customWidth="1"/>
    <col min="9734" max="9734" width="37.21875" style="1" hidden="1" customWidth="1"/>
    <col min="9735" max="9735" width="1.77734375" style="1" hidden="1" customWidth="1"/>
    <col min="9736" max="9979" width="0" style="1" hidden="1"/>
    <col min="9980" max="9980" width="1.77734375" style="1" hidden="1" customWidth="1"/>
    <col min="9981" max="9981" width="1.44140625" style="1" hidden="1" customWidth="1"/>
    <col min="9982" max="9982" width="2.77734375" style="1" hidden="1" customWidth="1"/>
    <col min="9983" max="9983" width="13.77734375" style="1" hidden="1" customWidth="1"/>
    <col min="9984" max="9984" width="13.21875" style="1" hidden="1" customWidth="1"/>
    <col min="9985" max="9985" width="10" style="1" hidden="1" customWidth="1"/>
    <col min="9986" max="9986" width="11.21875" style="1" hidden="1" customWidth="1"/>
    <col min="9987" max="9987" width="4.44140625" style="1" hidden="1" customWidth="1"/>
    <col min="9988" max="9988" width="3.77734375" style="1" hidden="1" customWidth="1"/>
    <col min="9989" max="9989" width="16.77734375" style="1" hidden="1" customWidth="1"/>
    <col min="9990" max="9990" width="37.21875" style="1" hidden="1" customWidth="1"/>
    <col min="9991" max="9991" width="1.77734375" style="1" hidden="1" customWidth="1"/>
    <col min="9992" max="10235" width="0" style="1" hidden="1"/>
    <col min="10236" max="10236" width="1.77734375" style="1" hidden="1" customWidth="1"/>
    <col min="10237" max="10237" width="1.44140625" style="1" hidden="1" customWidth="1"/>
    <col min="10238" max="10238" width="2.77734375" style="1" hidden="1" customWidth="1"/>
    <col min="10239" max="10239" width="13.77734375" style="1" hidden="1" customWidth="1"/>
    <col min="10240" max="10240" width="13.21875" style="1" hidden="1" customWidth="1"/>
    <col min="10241" max="10241" width="10" style="1" hidden="1" customWidth="1"/>
    <col min="10242" max="10242" width="11.21875" style="1" hidden="1" customWidth="1"/>
    <col min="10243" max="10243" width="4.44140625" style="1" hidden="1" customWidth="1"/>
    <col min="10244" max="10244" width="3.77734375" style="1" hidden="1" customWidth="1"/>
    <col min="10245" max="10245" width="16.77734375" style="1" hidden="1" customWidth="1"/>
    <col min="10246" max="10246" width="37.21875" style="1" hidden="1" customWidth="1"/>
    <col min="10247" max="10247" width="1.77734375" style="1" hidden="1" customWidth="1"/>
    <col min="10248" max="10491" width="0" style="1" hidden="1"/>
    <col min="10492" max="10492" width="1.77734375" style="1" hidden="1" customWidth="1"/>
    <col min="10493" max="10493" width="1.44140625" style="1" hidden="1" customWidth="1"/>
    <col min="10494" max="10494" width="2.77734375" style="1" hidden="1" customWidth="1"/>
    <col min="10495" max="10495" width="13.77734375" style="1" hidden="1" customWidth="1"/>
    <col min="10496" max="10496" width="13.21875" style="1" hidden="1" customWidth="1"/>
    <col min="10497" max="10497" width="10" style="1" hidden="1" customWidth="1"/>
    <col min="10498" max="10498" width="11.21875" style="1" hidden="1" customWidth="1"/>
    <col min="10499" max="10499" width="4.44140625" style="1" hidden="1" customWidth="1"/>
    <col min="10500" max="10500" width="3.77734375" style="1" hidden="1" customWidth="1"/>
    <col min="10501" max="10501" width="16.77734375" style="1" hidden="1" customWidth="1"/>
    <col min="10502" max="10502" width="37.21875" style="1" hidden="1" customWidth="1"/>
    <col min="10503" max="10503" width="1.77734375" style="1" hidden="1" customWidth="1"/>
    <col min="10504" max="10747" width="0" style="1" hidden="1"/>
    <col min="10748" max="10748" width="1.77734375" style="1" hidden="1" customWidth="1"/>
    <col min="10749" max="10749" width="1.44140625" style="1" hidden="1" customWidth="1"/>
    <col min="10750" max="10750" width="2.77734375" style="1" hidden="1" customWidth="1"/>
    <col min="10751" max="10751" width="13.77734375" style="1" hidden="1" customWidth="1"/>
    <col min="10752" max="10752" width="13.21875" style="1" hidden="1" customWidth="1"/>
    <col min="10753" max="10753" width="10" style="1" hidden="1" customWidth="1"/>
    <col min="10754" max="10754" width="11.21875" style="1" hidden="1" customWidth="1"/>
    <col min="10755" max="10755" width="4.44140625" style="1" hidden="1" customWidth="1"/>
    <col min="10756" max="10756" width="3.77734375" style="1" hidden="1" customWidth="1"/>
    <col min="10757" max="10757" width="16.77734375" style="1" hidden="1" customWidth="1"/>
    <col min="10758" max="10758" width="37.21875" style="1" hidden="1" customWidth="1"/>
    <col min="10759" max="10759" width="1.77734375" style="1" hidden="1" customWidth="1"/>
    <col min="10760" max="11003" width="0" style="1" hidden="1"/>
    <col min="11004" max="11004" width="1.77734375" style="1" hidden="1" customWidth="1"/>
    <col min="11005" max="11005" width="1.44140625" style="1" hidden="1" customWidth="1"/>
    <col min="11006" max="11006" width="2.77734375" style="1" hidden="1" customWidth="1"/>
    <col min="11007" max="11007" width="13.77734375" style="1" hidden="1" customWidth="1"/>
    <col min="11008" max="11008" width="13.21875" style="1" hidden="1" customWidth="1"/>
    <col min="11009" max="11009" width="10" style="1" hidden="1" customWidth="1"/>
    <col min="11010" max="11010" width="11.21875" style="1" hidden="1" customWidth="1"/>
    <col min="11011" max="11011" width="4.44140625" style="1" hidden="1" customWidth="1"/>
    <col min="11012" max="11012" width="3.77734375" style="1" hidden="1" customWidth="1"/>
    <col min="11013" max="11013" width="16.77734375" style="1" hidden="1" customWidth="1"/>
    <col min="11014" max="11014" width="37.21875" style="1" hidden="1" customWidth="1"/>
    <col min="11015" max="11015" width="1.77734375" style="1" hidden="1" customWidth="1"/>
    <col min="11016" max="11259" width="0" style="1" hidden="1"/>
    <col min="11260" max="11260" width="1.77734375" style="1" hidden="1" customWidth="1"/>
    <col min="11261" max="11261" width="1.44140625" style="1" hidden="1" customWidth="1"/>
    <col min="11262" max="11262" width="2.77734375" style="1" hidden="1" customWidth="1"/>
    <col min="11263" max="11263" width="13.77734375" style="1" hidden="1" customWidth="1"/>
    <col min="11264" max="11264" width="13.21875" style="1" hidden="1" customWidth="1"/>
    <col min="11265" max="11265" width="10" style="1" hidden="1" customWidth="1"/>
    <col min="11266" max="11266" width="11.21875" style="1" hidden="1" customWidth="1"/>
    <col min="11267" max="11267" width="4.44140625" style="1" hidden="1" customWidth="1"/>
    <col min="11268" max="11268" width="3.77734375" style="1" hidden="1" customWidth="1"/>
    <col min="11269" max="11269" width="16.77734375" style="1" hidden="1" customWidth="1"/>
    <col min="11270" max="11270" width="37.21875" style="1" hidden="1" customWidth="1"/>
    <col min="11271" max="11271" width="1.77734375" style="1" hidden="1" customWidth="1"/>
    <col min="11272" max="11515" width="0" style="1" hidden="1"/>
    <col min="11516" max="11516" width="1.77734375" style="1" hidden="1" customWidth="1"/>
    <col min="11517" max="11517" width="1.44140625" style="1" hidden="1" customWidth="1"/>
    <col min="11518" max="11518" width="2.77734375" style="1" hidden="1" customWidth="1"/>
    <col min="11519" max="11519" width="13.77734375" style="1" hidden="1" customWidth="1"/>
    <col min="11520" max="11520" width="13.21875" style="1" hidden="1" customWidth="1"/>
    <col min="11521" max="11521" width="10" style="1" hidden="1" customWidth="1"/>
    <col min="11522" max="11522" width="11.21875" style="1" hidden="1" customWidth="1"/>
    <col min="11523" max="11523" width="4.44140625" style="1" hidden="1" customWidth="1"/>
    <col min="11524" max="11524" width="3.77734375" style="1" hidden="1" customWidth="1"/>
    <col min="11525" max="11525" width="16.77734375" style="1" hidden="1" customWidth="1"/>
    <col min="11526" max="11526" width="37.21875" style="1" hidden="1" customWidth="1"/>
    <col min="11527" max="11527" width="1.77734375" style="1" hidden="1" customWidth="1"/>
    <col min="11528" max="11771" width="0" style="1" hidden="1"/>
    <col min="11772" max="11772" width="1.77734375" style="1" hidden="1" customWidth="1"/>
    <col min="11773" max="11773" width="1.44140625" style="1" hidden="1" customWidth="1"/>
    <col min="11774" max="11774" width="2.77734375" style="1" hidden="1" customWidth="1"/>
    <col min="11775" max="11775" width="13.77734375" style="1" hidden="1" customWidth="1"/>
    <col min="11776" max="11776" width="13.21875" style="1" hidden="1" customWidth="1"/>
    <col min="11777" max="11777" width="10" style="1" hidden="1" customWidth="1"/>
    <col min="11778" max="11778" width="11.21875" style="1" hidden="1" customWidth="1"/>
    <col min="11779" max="11779" width="4.44140625" style="1" hidden="1" customWidth="1"/>
    <col min="11780" max="11780" width="3.77734375" style="1" hidden="1" customWidth="1"/>
    <col min="11781" max="11781" width="16.77734375" style="1" hidden="1" customWidth="1"/>
    <col min="11782" max="11782" width="37.21875" style="1" hidden="1" customWidth="1"/>
    <col min="11783" max="11783" width="1.77734375" style="1" hidden="1" customWidth="1"/>
    <col min="11784" max="12027" width="0" style="1" hidden="1"/>
    <col min="12028" max="12028" width="1.77734375" style="1" hidden="1" customWidth="1"/>
    <col min="12029" max="12029" width="1.44140625" style="1" hidden="1" customWidth="1"/>
    <col min="12030" max="12030" width="2.77734375" style="1" hidden="1" customWidth="1"/>
    <col min="12031" max="12031" width="13.77734375" style="1" hidden="1" customWidth="1"/>
    <col min="12032" max="12032" width="13.21875" style="1" hidden="1" customWidth="1"/>
    <col min="12033" max="12033" width="10" style="1" hidden="1" customWidth="1"/>
    <col min="12034" max="12034" width="11.21875" style="1" hidden="1" customWidth="1"/>
    <col min="12035" max="12035" width="4.44140625" style="1" hidden="1" customWidth="1"/>
    <col min="12036" max="12036" width="3.77734375" style="1" hidden="1" customWidth="1"/>
    <col min="12037" max="12037" width="16.77734375" style="1" hidden="1" customWidth="1"/>
    <col min="12038" max="12038" width="37.21875" style="1" hidden="1" customWidth="1"/>
    <col min="12039" max="12039" width="1.77734375" style="1" hidden="1" customWidth="1"/>
    <col min="12040" max="12283" width="0" style="1" hidden="1"/>
    <col min="12284" max="12284" width="1.77734375" style="1" hidden="1" customWidth="1"/>
    <col min="12285" max="12285" width="1.44140625" style="1" hidden="1" customWidth="1"/>
    <col min="12286" max="12286" width="2.77734375" style="1" hidden="1" customWidth="1"/>
    <col min="12287" max="12287" width="13.77734375" style="1" hidden="1" customWidth="1"/>
    <col min="12288" max="12288" width="13.21875" style="1" hidden="1" customWidth="1"/>
    <col min="12289" max="12289" width="10" style="1" hidden="1" customWidth="1"/>
    <col min="12290" max="12290" width="11.21875" style="1" hidden="1" customWidth="1"/>
    <col min="12291" max="12291" width="4.44140625" style="1" hidden="1" customWidth="1"/>
    <col min="12292" max="12292" width="3.77734375" style="1" hidden="1" customWidth="1"/>
    <col min="12293" max="12293" width="16.77734375" style="1" hidden="1" customWidth="1"/>
    <col min="12294" max="12294" width="37.21875" style="1" hidden="1" customWidth="1"/>
    <col min="12295" max="12295" width="1.77734375" style="1" hidden="1" customWidth="1"/>
    <col min="12296" max="12539" width="0" style="1" hidden="1"/>
    <col min="12540" max="12540" width="1.77734375" style="1" hidden="1" customWidth="1"/>
    <col min="12541" max="12541" width="1.44140625" style="1" hidden="1" customWidth="1"/>
    <col min="12542" max="12542" width="2.77734375" style="1" hidden="1" customWidth="1"/>
    <col min="12543" max="12543" width="13.77734375" style="1" hidden="1" customWidth="1"/>
    <col min="12544" max="12544" width="13.21875" style="1" hidden="1" customWidth="1"/>
    <col min="12545" max="12545" width="10" style="1" hidden="1" customWidth="1"/>
    <col min="12546" max="12546" width="11.21875" style="1" hidden="1" customWidth="1"/>
    <col min="12547" max="12547" width="4.44140625" style="1" hidden="1" customWidth="1"/>
    <col min="12548" max="12548" width="3.77734375" style="1" hidden="1" customWidth="1"/>
    <col min="12549" max="12549" width="16.77734375" style="1" hidden="1" customWidth="1"/>
    <col min="12550" max="12550" width="37.21875" style="1" hidden="1" customWidth="1"/>
    <col min="12551" max="12551" width="1.77734375" style="1" hidden="1" customWidth="1"/>
    <col min="12552" max="12795" width="0" style="1" hidden="1"/>
    <col min="12796" max="12796" width="1.77734375" style="1" hidden="1" customWidth="1"/>
    <col min="12797" max="12797" width="1.44140625" style="1" hidden="1" customWidth="1"/>
    <col min="12798" max="12798" width="2.77734375" style="1" hidden="1" customWidth="1"/>
    <col min="12799" max="12799" width="13.77734375" style="1" hidden="1" customWidth="1"/>
    <col min="12800" max="12800" width="13.21875" style="1" hidden="1" customWidth="1"/>
    <col min="12801" max="12801" width="10" style="1" hidden="1" customWidth="1"/>
    <col min="12802" max="12802" width="11.21875" style="1" hidden="1" customWidth="1"/>
    <col min="12803" max="12803" width="4.44140625" style="1" hidden="1" customWidth="1"/>
    <col min="12804" max="12804" width="3.77734375" style="1" hidden="1" customWidth="1"/>
    <col min="12805" max="12805" width="16.77734375" style="1" hidden="1" customWidth="1"/>
    <col min="12806" max="12806" width="37.21875" style="1" hidden="1" customWidth="1"/>
    <col min="12807" max="12807" width="1.77734375" style="1" hidden="1" customWidth="1"/>
    <col min="12808" max="13051" width="0" style="1" hidden="1"/>
    <col min="13052" max="13052" width="1.77734375" style="1" hidden="1" customWidth="1"/>
    <col min="13053" max="13053" width="1.44140625" style="1" hidden="1" customWidth="1"/>
    <col min="13054" max="13054" width="2.77734375" style="1" hidden="1" customWidth="1"/>
    <col min="13055" max="13055" width="13.77734375" style="1" hidden="1" customWidth="1"/>
    <col min="13056" max="13056" width="13.21875" style="1" hidden="1" customWidth="1"/>
    <col min="13057" max="13057" width="10" style="1" hidden="1" customWidth="1"/>
    <col min="13058" max="13058" width="11.21875" style="1" hidden="1" customWidth="1"/>
    <col min="13059" max="13059" width="4.44140625" style="1" hidden="1" customWidth="1"/>
    <col min="13060" max="13060" width="3.77734375" style="1" hidden="1" customWidth="1"/>
    <col min="13061" max="13061" width="16.77734375" style="1" hidden="1" customWidth="1"/>
    <col min="13062" max="13062" width="37.21875" style="1" hidden="1" customWidth="1"/>
    <col min="13063" max="13063" width="1.77734375" style="1" hidden="1" customWidth="1"/>
    <col min="13064" max="13307" width="0" style="1" hidden="1"/>
    <col min="13308" max="13308" width="1.77734375" style="1" hidden="1" customWidth="1"/>
    <col min="13309" max="13309" width="1.44140625" style="1" hidden="1" customWidth="1"/>
    <col min="13310" max="13310" width="2.77734375" style="1" hidden="1" customWidth="1"/>
    <col min="13311" max="13311" width="13.77734375" style="1" hidden="1" customWidth="1"/>
    <col min="13312" max="13312" width="13.21875" style="1" hidden="1" customWidth="1"/>
    <col min="13313" max="13313" width="10" style="1" hidden="1" customWidth="1"/>
    <col min="13314" max="13314" width="11.21875" style="1" hidden="1" customWidth="1"/>
    <col min="13315" max="13315" width="4.44140625" style="1" hidden="1" customWidth="1"/>
    <col min="13316" max="13316" width="3.77734375" style="1" hidden="1" customWidth="1"/>
    <col min="13317" max="13317" width="16.77734375" style="1" hidden="1" customWidth="1"/>
    <col min="13318" max="13318" width="37.21875" style="1" hidden="1" customWidth="1"/>
    <col min="13319" max="13319" width="1.77734375" style="1" hidden="1" customWidth="1"/>
    <col min="13320" max="13563" width="0" style="1" hidden="1"/>
    <col min="13564" max="13564" width="1.77734375" style="1" hidden="1" customWidth="1"/>
    <col min="13565" max="13565" width="1.44140625" style="1" hidden="1" customWidth="1"/>
    <col min="13566" max="13566" width="2.77734375" style="1" hidden="1" customWidth="1"/>
    <col min="13567" max="13567" width="13.77734375" style="1" hidden="1" customWidth="1"/>
    <col min="13568" max="13568" width="13.21875" style="1" hidden="1" customWidth="1"/>
    <col min="13569" max="13569" width="10" style="1" hidden="1" customWidth="1"/>
    <col min="13570" max="13570" width="11.21875" style="1" hidden="1" customWidth="1"/>
    <col min="13571" max="13571" width="4.44140625" style="1" hidden="1" customWidth="1"/>
    <col min="13572" max="13572" width="3.77734375" style="1" hidden="1" customWidth="1"/>
    <col min="13573" max="13573" width="16.77734375" style="1" hidden="1" customWidth="1"/>
    <col min="13574" max="13574" width="37.21875" style="1" hidden="1" customWidth="1"/>
    <col min="13575" max="13575" width="1.77734375" style="1" hidden="1" customWidth="1"/>
    <col min="13576" max="13819" width="0" style="1" hidden="1"/>
    <col min="13820" max="13820" width="1.77734375" style="1" hidden="1" customWidth="1"/>
    <col min="13821" max="13821" width="1.44140625" style="1" hidden="1" customWidth="1"/>
    <col min="13822" max="13822" width="2.77734375" style="1" hidden="1" customWidth="1"/>
    <col min="13823" max="13823" width="13.77734375" style="1" hidden="1" customWidth="1"/>
    <col min="13824" max="13824" width="13.21875" style="1" hidden="1" customWidth="1"/>
    <col min="13825" max="13825" width="10" style="1" hidden="1" customWidth="1"/>
    <col min="13826" max="13826" width="11.21875" style="1" hidden="1" customWidth="1"/>
    <col min="13827" max="13827" width="4.44140625" style="1" hidden="1" customWidth="1"/>
    <col min="13828" max="13828" width="3.77734375" style="1" hidden="1" customWidth="1"/>
    <col min="13829" max="13829" width="16.77734375" style="1" hidden="1" customWidth="1"/>
    <col min="13830" max="13830" width="37.21875" style="1" hidden="1" customWidth="1"/>
    <col min="13831" max="13831" width="1.77734375" style="1" hidden="1" customWidth="1"/>
    <col min="13832" max="14075" width="0" style="1" hidden="1"/>
    <col min="14076" max="14076" width="1.77734375" style="1" hidden="1" customWidth="1"/>
    <col min="14077" max="14077" width="1.44140625" style="1" hidden="1" customWidth="1"/>
    <col min="14078" max="14078" width="2.77734375" style="1" hidden="1" customWidth="1"/>
    <col min="14079" max="14079" width="13.77734375" style="1" hidden="1" customWidth="1"/>
    <col min="14080" max="14080" width="13.21875" style="1" hidden="1" customWidth="1"/>
    <col min="14081" max="14081" width="10" style="1" hidden="1" customWidth="1"/>
    <col min="14082" max="14082" width="11.21875" style="1" hidden="1" customWidth="1"/>
    <col min="14083" max="14083" width="4.44140625" style="1" hidden="1" customWidth="1"/>
    <col min="14084" max="14084" width="3.77734375" style="1" hidden="1" customWidth="1"/>
    <col min="14085" max="14085" width="16.77734375" style="1" hidden="1" customWidth="1"/>
    <col min="14086" max="14086" width="37.21875" style="1" hidden="1" customWidth="1"/>
    <col min="14087" max="14087" width="1.77734375" style="1" hidden="1" customWidth="1"/>
    <col min="14088" max="14331" width="0" style="1" hidden="1"/>
    <col min="14332" max="14332" width="1.77734375" style="1" hidden="1" customWidth="1"/>
    <col min="14333" max="14333" width="1.44140625" style="1" hidden="1" customWidth="1"/>
    <col min="14334" max="14334" width="2.77734375" style="1" hidden="1" customWidth="1"/>
    <col min="14335" max="14335" width="13.77734375" style="1" hidden="1" customWidth="1"/>
    <col min="14336" max="14336" width="13.21875" style="1" hidden="1" customWidth="1"/>
    <col min="14337" max="14337" width="10" style="1" hidden="1" customWidth="1"/>
    <col min="14338" max="14338" width="11.21875" style="1" hidden="1" customWidth="1"/>
    <col min="14339" max="14339" width="4.44140625" style="1" hidden="1" customWidth="1"/>
    <col min="14340" max="14340" width="3.77734375" style="1" hidden="1" customWidth="1"/>
    <col min="14341" max="14341" width="16.77734375" style="1" hidden="1" customWidth="1"/>
    <col min="14342" max="14342" width="37.21875" style="1" hidden="1" customWidth="1"/>
    <col min="14343" max="14343" width="1.77734375" style="1" hidden="1" customWidth="1"/>
    <col min="14344" max="14587" width="0" style="1" hidden="1"/>
    <col min="14588" max="14588" width="1.77734375" style="1" hidden="1" customWidth="1"/>
    <col min="14589" max="14589" width="1.44140625" style="1" hidden="1" customWidth="1"/>
    <col min="14590" max="14590" width="2.77734375" style="1" hidden="1" customWidth="1"/>
    <col min="14591" max="14591" width="13.77734375" style="1" hidden="1" customWidth="1"/>
    <col min="14592" max="14592" width="13.21875" style="1" hidden="1" customWidth="1"/>
    <col min="14593" max="14593" width="10" style="1" hidden="1" customWidth="1"/>
    <col min="14594" max="14594" width="11.21875" style="1" hidden="1" customWidth="1"/>
    <col min="14595" max="14595" width="4.44140625" style="1" hidden="1" customWidth="1"/>
    <col min="14596" max="14596" width="3.77734375" style="1" hidden="1" customWidth="1"/>
    <col min="14597" max="14597" width="16.77734375" style="1" hidden="1" customWidth="1"/>
    <col min="14598" max="14598" width="37.21875" style="1" hidden="1" customWidth="1"/>
    <col min="14599" max="14599" width="1.77734375" style="1" hidden="1" customWidth="1"/>
    <col min="14600" max="14843" width="0" style="1" hidden="1"/>
    <col min="14844" max="14844" width="1.77734375" style="1" hidden="1" customWidth="1"/>
    <col min="14845" max="14845" width="1.44140625" style="1" hidden="1" customWidth="1"/>
    <col min="14846" max="14846" width="2.77734375" style="1" hidden="1" customWidth="1"/>
    <col min="14847" max="14847" width="13.77734375" style="1" hidden="1" customWidth="1"/>
    <col min="14848" max="14848" width="13.21875" style="1" hidden="1" customWidth="1"/>
    <col min="14849" max="14849" width="10" style="1" hidden="1" customWidth="1"/>
    <col min="14850" max="14850" width="11.21875" style="1" hidden="1" customWidth="1"/>
    <col min="14851" max="14851" width="4.44140625" style="1" hidden="1" customWidth="1"/>
    <col min="14852" max="14852" width="3.77734375" style="1" hidden="1" customWidth="1"/>
    <col min="14853" max="14853" width="16.77734375" style="1" hidden="1" customWidth="1"/>
    <col min="14854" max="14854" width="37.21875" style="1" hidden="1" customWidth="1"/>
    <col min="14855" max="14855" width="1.77734375" style="1" hidden="1" customWidth="1"/>
    <col min="14856" max="15099" width="0" style="1" hidden="1"/>
    <col min="15100" max="15100" width="1.77734375" style="1" hidden="1" customWidth="1"/>
    <col min="15101" max="15101" width="1.44140625" style="1" hidden="1" customWidth="1"/>
    <col min="15102" max="15102" width="2.77734375" style="1" hidden="1" customWidth="1"/>
    <col min="15103" max="15103" width="13.77734375" style="1" hidden="1" customWidth="1"/>
    <col min="15104" max="15104" width="13.21875" style="1" hidden="1" customWidth="1"/>
    <col min="15105" max="15105" width="10" style="1" hidden="1" customWidth="1"/>
    <col min="15106" max="15106" width="11.21875" style="1" hidden="1" customWidth="1"/>
    <col min="15107" max="15107" width="4.44140625" style="1" hidden="1" customWidth="1"/>
    <col min="15108" max="15108" width="3.77734375" style="1" hidden="1" customWidth="1"/>
    <col min="15109" max="15109" width="16.77734375" style="1" hidden="1" customWidth="1"/>
    <col min="15110" max="15110" width="37.21875" style="1" hidden="1" customWidth="1"/>
    <col min="15111" max="15111" width="1.77734375" style="1" hidden="1" customWidth="1"/>
    <col min="15112" max="15355" width="0" style="1" hidden="1"/>
    <col min="15356" max="15356" width="1.77734375" style="1" hidden="1" customWidth="1"/>
    <col min="15357" max="15357" width="1.44140625" style="1" hidden="1" customWidth="1"/>
    <col min="15358" max="15358" width="2.77734375" style="1" hidden="1" customWidth="1"/>
    <col min="15359" max="15359" width="13.77734375" style="1" hidden="1" customWidth="1"/>
    <col min="15360" max="15360" width="13.21875" style="1" hidden="1" customWidth="1"/>
    <col min="15361" max="15361" width="10" style="1" hidden="1" customWidth="1"/>
    <col min="15362" max="15362" width="11.21875" style="1" hidden="1" customWidth="1"/>
    <col min="15363" max="15363" width="4.44140625" style="1" hidden="1" customWidth="1"/>
    <col min="15364" max="15364" width="3.77734375" style="1" hidden="1" customWidth="1"/>
    <col min="15365" max="15365" width="16.77734375" style="1" hidden="1" customWidth="1"/>
    <col min="15366" max="15366" width="37.21875" style="1" hidden="1" customWidth="1"/>
    <col min="15367" max="15367" width="1.77734375" style="1" hidden="1" customWidth="1"/>
    <col min="15368" max="15611" width="0" style="1" hidden="1"/>
    <col min="15612" max="15612" width="1.77734375" style="1" hidden="1" customWidth="1"/>
    <col min="15613" max="15613" width="1.44140625" style="1" hidden="1" customWidth="1"/>
    <col min="15614" max="15614" width="2.77734375" style="1" hidden="1" customWidth="1"/>
    <col min="15615" max="15615" width="13.77734375" style="1" hidden="1" customWidth="1"/>
    <col min="15616" max="15616" width="13.21875" style="1" hidden="1" customWidth="1"/>
    <col min="15617" max="15617" width="10" style="1" hidden="1" customWidth="1"/>
    <col min="15618" max="15618" width="11.21875" style="1" hidden="1" customWidth="1"/>
    <col min="15619" max="15619" width="4.44140625" style="1" hidden="1" customWidth="1"/>
    <col min="15620" max="15620" width="3.77734375" style="1" hidden="1" customWidth="1"/>
    <col min="15621" max="15621" width="16.77734375" style="1" hidden="1" customWidth="1"/>
    <col min="15622" max="15622" width="37.21875" style="1" hidden="1" customWidth="1"/>
    <col min="15623" max="15623" width="1.77734375" style="1" hidden="1" customWidth="1"/>
    <col min="15624" max="15867" width="0" style="1" hidden="1"/>
    <col min="15868" max="15868" width="1.77734375" style="1" hidden="1" customWidth="1"/>
    <col min="15869" max="15869" width="1.44140625" style="1" hidden="1" customWidth="1"/>
    <col min="15870" max="15870" width="2.77734375" style="1" hidden="1" customWidth="1"/>
    <col min="15871" max="15871" width="13.77734375" style="1" hidden="1" customWidth="1"/>
    <col min="15872" max="15872" width="13.21875" style="1" hidden="1" customWidth="1"/>
    <col min="15873" max="15873" width="10" style="1" hidden="1" customWidth="1"/>
    <col min="15874" max="15874" width="11.21875" style="1" hidden="1" customWidth="1"/>
    <col min="15875" max="15875" width="4.44140625" style="1" hidden="1" customWidth="1"/>
    <col min="15876" max="15876" width="3.77734375" style="1" hidden="1" customWidth="1"/>
    <col min="15877" max="15877" width="16.77734375" style="1" hidden="1" customWidth="1"/>
    <col min="15878" max="15878" width="37.21875" style="1" hidden="1" customWidth="1"/>
    <col min="15879" max="15879" width="1.77734375" style="1" hidden="1" customWidth="1"/>
    <col min="15880" max="16123" width="0" style="1" hidden="1"/>
    <col min="16124" max="16124" width="1.77734375" style="1" hidden="1" customWidth="1"/>
    <col min="16125" max="16125" width="1.44140625" style="1" hidden="1" customWidth="1"/>
    <col min="16126" max="16126" width="2.77734375" style="1" hidden="1" customWidth="1"/>
    <col min="16127" max="16127" width="13.77734375" style="1" hidden="1" customWidth="1"/>
    <col min="16128" max="16128" width="13.21875" style="1" hidden="1" customWidth="1"/>
    <col min="16129" max="16129" width="10" style="1" hidden="1" customWidth="1"/>
    <col min="16130" max="16130" width="11.21875" style="1" hidden="1" customWidth="1"/>
    <col min="16131" max="16131" width="4.44140625" style="1" hidden="1" customWidth="1"/>
    <col min="16132" max="16132" width="3.77734375" style="1" hidden="1" customWidth="1"/>
    <col min="16133" max="16133" width="16.77734375" style="1" hidden="1" customWidth="1"/>
    <col min="16134" max="16134" width="37.21875" style="1" hidden="1" customWidth="1"/>
    <col min="16135" max="16135" width="1.77734375" style="1" hidden="1" customWidth="1"/>
    <col min="16136" max="16384" width="0" style="1" hidden="1"/>
  </cols>
  <sheetData>
    <row r="1" spans="1:18" ht="13.8" thickBot="1" x14ac:dyDescent="0.3">
      <c r="A1" s="15"/>
      <c r="B1" s="16"/>
      <c r="C1" s="16"/>
      <c r="D1" s="16"/>
      <c r="E1" s="16"/>
      <c r="F1" s="16"/>
      <c r="G1" s="16"/>
      <c r="H1" s="16"/>
      <c r="I1" s="15"/>
      <c r="J1" s="15"/>
      <c r="K1" s="15"/>
      <c r="L1" s="17"/>
    </row>
    <row r="2" spans="1:18" ht="14.25" customHeight="1" x14ac:dyDescent="0.25">
      <c r="A2" s="18"/>
      <c r="B2" s="15"/>
      <c r="C2" s="15"/>
      <c r="D2" s="15"/>
      <c r="E2" s="15"/>
      <c r="F2" s="15"/>
      <c r="G2" s="15"/>
      <c r="H2" s="15"/>
      <c r="I2" s="142" t="s">
        <v>67</v>
      </c>
      <c r="J2" s="143"/>
      <c r="K2" s="144"/>
      <c r="L2" s="17"/>
    </row>
    <row r="3" spans="1:18" ht="14.25" customHeight="1" x14ac:dyDescent="0.25">
      <c r="A3" s="18"/>
      <c r="B3" s="15"/>
      <c r="C3" s="15"/>
      <c r="D3" s="15"/>
      <c r="E3" s="15"/>
      <c r="F3" s="15"/>
      <c r="G3" s="15"/>
      <c r="H3" s="15"/>
      <c r="I3" s="145" t="s">
        <v>653</v>
      </c>
      <c r="J3" s="146"/>
      <c r="K3" s="147"/>
      <c r="L3" s="17"/>
    </row>
    <row r="4" spans="1:18" ht="14.25" customHeight="1" x14ac:dyDescent="0.25">
      <c r="A4" s="18"/>
      <c r="B4" s="15"/>
      <c r="C4" s="15"/>
      <c r="D4" s="15"/>
      <c r="E4" s="15"/>
      <c r="F4" s="15"/>
      <c r="G4" s="15"/>
      <c r="H4" s="15"/>
      <c r="I4" s="145" t="s">
        <v>654</v>
      </c>
      <c r="J4" s="146"/>
      <c r="K4" s="147"/>
      <c r="L4" s="17"/>
    </row>
    <row r="5" spans="1:18" ht="14.25" customHeight="1" x14ac:dyDescent="0.25">
      <c r="A5" s="18"/>
      <c r="B5" s="15"/>
      <c r="C5" s="15"/>
      <c r="D5" s="15"/>
      <c r="E5" s="15"/>
      <c r="F5" s="15"/>
      <c r="G5" s="15"/>
      <c r="H5" s="15"/>
      <c r="I5" s="148" t="s">
        <v>655</v>
      </c>
      <c r="J5" s="149"/>
      <c r="K5" s="150"/>
      <c r="L5" s="17"/>
    </row>
    <row r="6" spans="1:18" ht="33.75" customHeight="1" thickBot="1" x14ac:dyDescent="0.3">
      <c r="A6" s="18"/>
      <c r="B6" s="19"/>
      <c r="C6" s="16"/>
      <c r="D6" s="16"/>
      <c r="E6" s="16"/>
      <c r="F6" s="16"/>
      <c r="G6" s="16"/>
      <c r="H6" s="16"/>
      <c r="I6" s="151" t="s">
        <v>656</v>
      </c>
      <c r="J6" s="152"/>
      <c r="K6" s="153"/>
      <c r="L6" s="17"/>
    </row>
    <row r="7" spans="1:18" s="2" customFormat="1" ht="42" customHeight="1" thickBot="1" x14ac:dyDescent="0.3">
      <c r="A7" s="20"/>
      <c r="B7" s="138" t="s">
        <v>781</v>
      </c>
      <c r="C7" s="139"/>
      <c r="D7" s="139"/>
      <c r="E7" s="139"/>
      <c r="F7" s="139"/>
      <c r="G7" s="139"/>
      <c r="H7" s="139"/>
      <c r="I7" s="140"/>
      <c r="J7" s="140"/>
      <c r="K7" s="141"/>
      <c r="L7" s="21"/>
    </row>
    <row r="8" spans="1:18" s="2" customFormat="1" ht="18.75" customHeight="1" thickBot="1" x14ac:dyDescent="0.3">
      <c r="A8" s="20"/>
      <c r="B8" s="156" t="s">
        <v>69</v>
      </c>
      <c r="C8" s="157"/>
      <c r="D8" s="157"/>
      <c r="E8" s="157"/>
      <c r="F8" s="157"/>
      <c r="G8" s="157"/>
      <c r="H8" s="157"/>
      <c r="I8" s="157"/>
      <c r="J8" s="157"/>
      <c r="K8" s="158"/>
      <c r="L8" s="21"/>
    </row>
    <row r="9" spans="1:18" s="2" customFormat="1" ht="19.5" customHeight="1" x14ac:dyDescent="0.3">
      <c r="A9" s="22"/>
      <c r="B9" s="159" t="s">
        <v>70</v>
      </c>
      <c r="C9" s="160"/>
      <c r="D9" s="160"/>
      <c r="E9" s="160"/>
      <c r="F9" s="160"/>
      <c r="G9" s="160"/>
      <c r="H9" s="160"/>
      <c r="I9" s="160"/>
      <c r="J9" s="160"/>
      <c r="K9" s="161"/>
      <c r="L9" s="21"/>
      <c r="R9" s="115"/>
    </row>
    <row r="10" spans="1:18" s="2" customFormat="1" ht="15" customHeight="1" x14ac:dyDescent="0.25">
      <c r="A10" s="22"/>
      <c r="B10" s="162" t="s">
        <v>71</v>
      </c>
      <c r="C10" s="163"/>
      <c r="D10" s="163"/>
      <c r="E10" s="163"/>
      <c r="F10" s="163"/>
      <c r="G10" s="163"/>
      <c r="H10" s="163"/>
      <c r="I10" s="163"/>
      <c r="J10" s="163"/>
      <c r="K10" s="164"/>
      <c r="L10" s="21"/>
    </row>
    <row r="11" spans="1:18" s="2" customFormat="1" ht="15" customHeight="1" x14ac:dyDescent="0.25">
      <c r="A11" s="22"/>
      <c r="B11" s="162" t="s">
        <v>73</v>
      </c>
      <c r="C11" s="163"/>
      <c r="D11" s="163"/>
      <c r="E11" s="163"/>
      <c r="F11" s="163"/>
      <c r="G11" s="163"/>
      <c r="H11" s="163"/>
      <c r="I11" s="163"/>
      <c r="J11" s="163"/>
      <c r="K11" s="164"/>
      <c r="L11" s="21"/>
    </row>
    <row r="12" spans="1:18" s="2" customFormat="1" ht="15" customHeight="1" x14ac:dyDescent="0.25">
      <c r="A12" s="22"/>
      <c r="B12" s="162" t="s">
        <v>72</v>
      </c>
      <c r="C12" s="163"/>
      <c r="D12" s="163"/>
      <c r="E12" s="163"/>
      <c r="F12" s="163"/>
      <c r="G12" s="163"/>
      <c r="H12" s="163"/>
      <c r="I12" s="163"/>
      <c r="J12" s="163"/>
      <c r="K12" s="164"/>
      <c r="L12" s="21"/>
    </row>
    <row r="13" spans="1:18" s="2" customFormat="1" ht="15" customHeight="1" thickBot="1" x14ac:dyDescent="0.3">
      <c r="A13" s="22"/>
      <c r="B13" s="165" t="s">
        <v>74</v>
      </c>
      <c r="C13" s="166"/>
      <c r="D13" s="166"/>
      <c r="E13" s="166"/>
      <c r="F13" s="166"/>
      <c r="G13" s="166"/>
      <c r="H13" s="166"/>
      <c r="I13" s="166"/>
      <c r="J13" s="166"/>
      <c r="K13" s="167"/>
      <c r="L13" s="21"/>
    </row>
    <row r="14" spans="1:18" ht="15" customHeight="1" thickBot="1" x14ac:dyDescent="0.3">
      <c r="A14" s="18"/>
      <c r="B14" s="168" t="s">
        <v>68</v>
      </c>
      <c r="C14" s="169"/>
      <c r="D14" s="169"/>
      <c r="E14" s="169"/>
      <c r="F14" s="169"/>
      <c r="G14" s="169"/>
      <c r="H14" s="169"/>
      <c r="I14" s="169"/>
      <c r="J14" s="169"/>
      <c r="K14" s="170"/>
      <c r="L14" s="17"/>
    </row>
    <row r="15" spans="1:18" ht="15" customHeight="1" x14ac:dyDescent="0.25">
      <c r="A15" s="15"/>
      <c r="B15" s="171" t="s">
        <v>55</v>
      </c>
      <c r="C15" s="172"/>
      <c r="D15" s="172"/>
      <c r="E15" s="173"/>
      <c r="F15" s="174" t="s">
        <v>435</v>
      </c>
      <c r="G15" s="174"/>
      <c r="H15" s="174"/>
      <c r="I15" s="174"/>
      <c r="J15" s="174"/>
      <c r="K15" s="175"/>
      <c r="L15" s="17"/>
    </row>
    <row r="16" spans="1:18" ht="15" customHeight="1" x14ac:dyDescent="0.25">
      <c r="A16" s="15"/>
      <c r="B16" s="23"/>
      <c r="C16" s="15"/>
      <c r="D16" s="176" t="s">
        <v>546</v>
      </c>
      <c r="E16" s="177"/>
      <c r="F16" s="174" t="s">
        <v>695</v>
      </c>
      <c r="G16" s="174"/>
      <c r="H16" s="174"/>
      <c r="I16" s="174"/>
      <c r="J16" s="174"/>
      <c r="K16" s="175"/>
      <c r="L16" s="17"/>
    </row>
    <row r="17" spans="1:256" ht="15" customHeight="1" x14ac:dyDescent="0.25">
      <c r="A17" s="15"/>
      <c r="B17" s="23"/>
      <c r="C17" s="15"/>
      <c r="D17" s="15"/>
      <c r="E17" s="24" t="s">
        <v>2</v>
      </c>
      <c r="F17" s="154" t="str">
        <f>VLOOKUP($F$16,Controle!R3:W16,3,FALSE)</f>
        <v>Rua Costa, 55   Bairro Cerqueira César</v>
      </c>
      <c r="G17" s="154"/>
      <c r="H17" s="154"/>
      <c r="I17" s="154"/>
      <c r="J17" s="154"/>
      <c r="K17" s="155"/>
      <c r="L17" s="17"/>
    </row>
    <row r="18" spans="1:256" ht="15" customHeight="1" x14ac:dyDescent="0.25">
      <c r="A18" s="15"/>
      <c r="B18" s="23"/>
      <c r="C18" s="15"/>
      <c r="D18" s="15"/>
      <c r="E18" s="24" t="s">
        <v>3</v>
      </c>
      <c r="F18" s="178" t="str">
        <f>VLOOKUP($F$16,Controle!R3:W16,4,FALSE)</f>
        <v>01304-010</v>
      </c>
      <c r="G18" s="179"/>
      <c r="H18" s="180" t="s">
        <v>6</v>
      </c>
      <c r="I18" s="180"/>
      <c r="J18" s="181" t="str">
        <f>VLOOKUP($F$16,Controle!R3:W16,6,FALSE)</f>
        <v>SÃO PAULO / SP</v>
      </c>
      <c r="K18" s="182"/>
      <c r="L18" s="17"/>
    </row>
    <row r="19" spans="1:256" ht="15" customHeight="1" thickBot="1" x14ac:dyDescent="0.3">
      <c r="A19" s="15"/>
      <c r="B19" s="23"/>
      <c r="C19" s="15"/>
      <c r="D19" s="15"/>
      <c r="E19" s="24" t="s">
        <v>7</v>
      </c>
      <c r="F19" s="183" t="str">
        <f>VLOOKUP($F$16,Controle!R3:W16,5,FALSE)</f>
        <v>11-3775 5101</v>
      </c>
      <c r="G19" s="184"/>
      <c r="H19" s="185" t="s">
        <v>5</v>
      </c>
      <c r="I19" s="186"/>
      <c r="J19" s="187" t="str">
        <f>VLOOKUP($F$15,Controle!R20:U54,2,FALSE)</f>
        <v>viviane.ferrari@sgb.gov.br</v>
      </c>
      <c r="K19" s="188"/>
      <c r="L19" s="17"/>
    </row>
    <row r="20" spans="1:256" ht="16.5" customHeight="1" thickBot="1" x14ac:dyDescent="0.3">
      <c r="A20" s="18"/>
      <c r="B20" s="194" t="s">
        <v>22</v>
      </c>
      <c r="C20" s="195"/>
      <c r="D20" s="195"/>
      <c r="E20" s="195"/>
      <c r="F20" s="195"/>
      <c r="G20" s="195"/>
      <c r="H20" s="195"/>
      <c r="I20" s="195"/>
      <c r="J20" s="195"/>
      <c r="K20" s="196"/>
      <c r="L20" s="17"/>
    </row>
    <row r="21" spans="1:256" ht="15" customHeight="1" x14ac:dyDescent="0.25">
      <c r="A21" s="18"/>
      <c r="B21" s="23"/>
      <c r="C21" s="15"/>
      <c r="D21" s="197" t="s">
        <v>0</v>
      </c>
      <c r="E21" s="197"/>
      <c r="F21" s="198" t="s">
        <v>32</v>
      </c>
      <c r="G21" s="199"/>
      <c r="H21" s="199"/>
      <c r="I21" s="199"/>
      <c r="J21" s="199"/>
      <c r="K21" s="200"/>
      <c r="L21" s="17"/>
    </row>
    <row r="22" spans="1:256" ht="15" customHeight="1" x14ac:dyDescent="0.25">
      <c r="A22" s="18"/>
      <c r="B22" s="15"/>
      <c r="C22" s="15"/>
      <c r="D22" s="15"/>
      <c r="E22" s="89" t="s">
        <v>1</v>
      </c>
      <c r="F22" s="201" t="s">
        <v>699</v>
      </c>
      <c r="G22" s="202"/>
      <c r="H22" s="202"/>
      <c r="I22" s="202"/>
      <c r="J22" s="202"/>
      <c r="K22" s="203"/>
      <c r="L22" s="17"/>
    </row>
    <row r="23" spans="1:256" ht="15" customHeight="1" x14ac:dyDescent="0.25">
      <c r="A23" s="18"/>
      <c r="B23" s="15"/>
      <c r="C23" s="15"/>
      <c r="D23" s="15"/>
      <c r="E23" s="89" t="s">
        <v>2</v>
      </c>
      <c r="F23" s="204" t="s">
        <v>706</v>
      </c>
      <c r="G23" s="205"/>
      <c r="H23" s="206"/>
      <c r="I23" s="207" t="s">
        <v>6</v>
      </c>
      <c r="J23" s="207"/>
      <c r="K23" s="108" t="s">
        <v>707</v>
      </c>
      <c r="L23" s="17"/>
    </row>
    <row r="24" spans="1:256" ht="15" customHeight="1" thickBot="1" x14ac:dyDescent="0.3">
      <c r="A24" s="18"/>
      <c r="B24" s="15"/>
      <c r="C24" s="15"/>
      <c r="D24" s="15"/>
      <c r="E24" s="89" t="s">
        <v>3</v>
      </c>
      <c r="F24" s="178" t="s">
        <v>444</v>
      </c>
      <c r="G24" s="208"/>
      <c r="H24" s="179"/>
      <c r="I24" s="209" t="s">
        <v>7</v>
      </c>
      <c r="J24" s="210"/>
      <c r="K24" s="108" t="s">
        <v>544</v>
      </c>
      <c r="L24" s="17"/>
    </row>
    <row r="25" spans="1:256" ht="15" customHeight="1" thickBot="1" x14ac:dyDescent="0.3">
      <c r="A25" s="18"/>
      <c r="B25" s="15"/>
      <c r="C25" s="15"/>
      <c r="D25" s="15"/>
      <c r="E25" s="89" t="s">
        <v>4</v>
      </c>
      <c r="F25" s="183" t="s">
        <v>545</v>
      </c>
      <c r="G25" s="211"/>
      <c r="H25" s="212"/>
      <c r="I25" s="213" t="s">
        <v>5</v>
      </c>
      <c r="J25" s="214"/>
      <c r="K25" s="116" t="s">
        <v>698</v>
      </c>
      <c r="L25" s="17"/>
      <c r="IV25" s="7"/>
    </row>
    <row r="26" spans="1:256" ht="15" customHeight="1" thickBot="1" x14ac:dyDescent="0.3">
      <c r="A26" s="18"/>
      <c r="B26" s="215" t="s">
        <v>56</v>
      </c>
      <c r="C26" s="216"/>
      <c r="D26" s="216"/>
      <c r="E26" s="217"/>
      <c r="F26" s="217"/>
      <c r="G26" s="217"/>
      <c r="H26" s="217"/>
      <c r="I26" s="217"/>
      <c r="J26" s="217"/>
      <c r="K26" s="218"/>
      <c r="L26" s="17"/>
    </row>
    <row r="27" spans="1:256" ht="15" customHeight="1" x14ac:dyDescent="0.25">
      <c r="A27" s="18"/>
      <c r="B27" s="52" t="s">
        <v>525</v>
      </c>
      <c r="C27" s="189" t="s">
        <v>239</v>
      </c>
      <c r="D27" s="190"/>
      <c r="E27" s="43" t="s">
        <v>700</v>
      </c>
      <c r="F27" s="44"/>
      <c r="G27" s="45"/>
      <c r="H27" s="55" t="s">
        <v>61</v>
      </c>
      <c r="I27" s="191" t="s">
        <v>784</v>
      </c>
      <c r="J27" s="192"/>
      <c r="K27" s="193"/>
      <c r="L27" s="17"/>
    </row>
    <row r="28" spans="1:256" ht="15" customHeight="1" x14ac:dyDescent="0.25">
      <c r="A28" s="18"/>
      <c r="B28" s="53" t="s">
        <v>526</v>
      </c>
      <c r="C28" s="222" t="s">
        <v>436</v>
      </c>
      <c r="D28" s="223"/>
      <c r="E28" s="224"/>
      <c r="F28" s="224"/>
      <c r="G28" s="225"/>
      <c r="H28" s="56" t="s">
        <v>62</v>
      </c>
      <c r="I28" s="226"/>
      <c r="J28" s="227"/>
      <c r="K28" s="228"/>
      <c r="L28" s="17"/>
    </row>
    <row r="29" spans="1:256" ht="15" customHeight="1" x14ac:dyDescent="0.25">
      <c r="A29" s="18"/>
      <c r="B29" s="52" t="s">
        <v>527</v>
      </c>
      <c r="C29" s="222" t="s">
        <v>240</v>
      </c>
      <c r="D29" s="223"/>
      <c r="E29" s="227"/>
      <c r="F29" s="227"/>
      <c r="G29" s="229"/>
      <c r="H29" s="57" t="s">
        <v>241</v>
      </c>
      <c r="I29" s="230"/>
      <c r="J29" s="231"/>
      <c r="K29" s="232"/>
      <c r="L29" s="17"/>
    </row>
    <row r="30" spans="1:256" ht="15" customHeight="1" thickBot="1" x14ac:dyDescent="0.3">
      <c r="A30" s="18"/>
      <c r="B30" s="54" t="s">
        <v>528</v>
      </c>
      <c r="C30" s="233" t="s">
        <v>243</v>
      </c>
      <c r="D30" s="234"/>
      <c r="E30" s="235" t="s">
        <v>797</v>
      </c>
      <c r="F30" s="235"/>
      <c r="G30" s="236"/>
      <c r="H30" s="58" t="s">
        <v>242</v>
      </c>
      <c r="I30" s="235"/>
      <c r="J30" s="235"/>
      <c r="K30" s="237"/>
      <c r="L30" s="17"/>
    </row>
    <row r="31" spans="1:256" ht="15" customHeight="1" thickBot="1" x14ac:dyDescent="0.3">
      <c r="A31" s="18"/>
      <c r="B31" s="219" t="s">
        <v>8</v>
      </c>
      <c r="C31" s="238"/>
      <c r="D31" s="238"/>
      <c r="E31" s="220"/>
      <c r="F31" s="220"/>
      <c r="G31" s="220"/>
      <c r="H31" s="220"/>
      <c r="I31" s="220"/>
      <c r="J31" s="220"/>
      <c r="K31" s="239"/>
      <c r="L31" s="17"/>
    </row>
    <row r="32" spans="1:256" ht="15" customHeight="1" x14ac:dyDescent="0.25">
      <c r="A32" s="18"/>
      <c r="B32" s="240" t="s">
        <v>787</v>
      </c>
      <c r="C32" s="241"/>
      <c r="D32" s="241"/>
      <c r="E32" s="241"/>
      <c r="F32" s="241"/>
      <c r="G32" s="241"/>
      <c r="H32" s="241"/>
      <c r="I32" s="241"/>
      <c r="J32" s="241"/>
      <c r="K32" s="242"/>
      <c r="L32" s="17"/>
    </row>
    <row r="33" spans="1:12" ht="15" customHeight="1" x14ac:dyDescent="0.25">
      <c r="A33" s="18"/>
      <c r="B33" s="243"/>
      <c r="C33" s="244"/>
      <c r="D33" s="244"/>
      <c r="E33" s="244"/>
      <c r="F33" s="244"/>
      <c r="G33" s="244"/>
      <c r="H33" s="244"/>
      <c r="I33" s="244"/>
      <c r="J33" s="244"/>
      <c r="K33" s="245"/>
      <c r="L33" s="17"/>
    </row>
    <row r="34" spans="1:12" ht="15" customHeight="1" x14ac:dyDescent="0.25">
      <c r="A34" s="18"/>
      <c r="B34" s="243"/>
      <c r="C34" s="244"/>
      <c r="D34" s="244"/>
      <c r="E34" s="244"/>
      <c r="F34" s="244"/>
      <c r="G34" s="244"/>
      <c r="H34" s="244"/>
      <c r="I34" s="244"/>
      <c r="J34" s="244"/>
      <c r="K34" s="245"/>
      <c r="L34" s="17"/>
    </row>
    <row r="35" spans="1:12" ht="15" customHeight="1" x14ac:dyDescent="0.25">
      <c r="A35" s="18"/>
      <c r="B35" s="243"/>
      <c r="C35" s="244"/>
      <c r="D35" s="244"/>
      <c r="E35" s="244"/>
      <c r="F35" s="244"/>
      <c r="G35" s="244"/>
      <c r="H35" s="244"/>
      <c r="I35" s="244"/>
      <c r="J35" s="244"/>
      <c r="K35" s="245"/>
      <c r="L35" s="17"/>
    </row>
    <row r="36" spans="1:12" ht="15" customHeight="1" x14ac:dyDescent="0.25">
      <c r="A36" s="18"/>
      <c r="B36" s="243"/>
      <c r="C36" s="244"/>
      <c r="D36" s="244"/>
      <c r="E36" s="244"/>
      <c r="F36" s="244"/>
      <c r="G36" s="244"/>
      <c r="H36" s="244"/>
      <c r="I36" s="244"/>
      <c r="J36" s="244"/>
      <c r="K36" s="245"/>
      <c r="L36" s="17"/>
    </row>
    <row r="37" spans="1:12" ht="15" customHeight="1" thickBot="1" x14ac:dyDescent="0.3">
      <c r="A37" s="18"/>
      <c r="B37" s="246"/>
      <c r="C37" s="247"/>
      <c r="D37" s="247"/>
      <c r="E37" s="247"/>
      <c r="F37" s="247"/>
      <c r="G37" s="247"/>
      <c r="H37" s="247"/>
      <c r="I37" s="247"/>
      <c r="J37" s="247"/>
      <c r="K37" s="248"/>
      <c r="L37" s="17"/>
    </row>
    <row r="38" spans="1:12" ht="15" customHeight="1" thickBot="1" x14ac:dyDescent="0.3">
      <c r="A38" s="15"/>
      <c r="B38" s="15"/>
      <c r="C38" s="25"/>
      <c r="D38" s="25"/>
      <c r="E38" s="25"/>
      <c r="F38" s="25"/>
      <c r="G38" s="25"/>
      <c r="H38" s="25"/>
      <c r="I38" s="26"/>
      <c r="J38" s="26"/>
      <c r="K38" s="26"/>
      <c r="L38" s="17"/>
    </row>
    <row r="39" spans="1:12" ht="15" customHeight="1" thickBot="1" x14ac:dyDescent="0.3">
      <c r="A39" s="15"/>
      <c r="B39" s="15"/>
      <c r="C39" s="215" t="s">
        <v>9</v>
      </c>
      <c r="D39" s="217"/>
      <c r="E39" s="217"/>
      <c r="F39" s="217"/>
      <c r="G39" s="218"/>
      <c r="H39" s="18"/>
      <c r="I39" s="219" t="s">
        <v>75</v>
      </c>
      <c r="J39" s="220"/>
      <c r="K39" s="221"/>
      <c r="L39" s="17"/>
    </row>
    <row r="40" spans="1:12" ht="15" customHeight="1" thickBot="1" x14ac:dyDescent="0.3">
      <c r="A40" s="15"/>
      <c r="B40" s="15"/>
      <c r="C40" s="249" t="s">
        <v>19</v>
      </c>
      <c r="D40" s="250"/>
      <c r="E40" s="250"/>
      <c r="F40" s="250"/>
      <c r="G40" s="251"/>
      <c r="H40" s="18"/>
      <c r="I40" s="252" t="s">
        <v>23</v>
      </c>
      <c r="J40" s="253"/>
      <c r="K40" s="49">
        <f>DadosAmostras!L110</f>
        <v>50</v>
      </c>
      <c r="L40" s="17"/>
    </row>
    <row r="41" spans="1:12" ht="15" customHeight="1" thickBot="1" x14ac:dyDescent="0.3">
      <c r="A41" s="15"/>
      <c r="B41" s="15"/>
      <c r="C41" s="249" t="s">
        <v>10</v>
      </c>
      <c r="D41" s="251"/>
      <c r="E41" s="27"/>
      <c r="F41" s="28" t="s">
        <v>15</v>
      </c>
      <c r="G41" s="27"/>
      <c r="H41" s="15"/>
      <c r="I41" s="252" t="s">
        <v>581</v>
      </c>
      <c r="J41" s="254"/>
      <c r="K41" s="134" t="str">
        <f>IFERROR(VLOOKUP(K42,Controle!E2:F131,2,FALSE),"")</f>
        <v>Geologia e Potencial Mineral do Sudeste do Paraná</v>
      </c>
      <c r="L41" s="17"/>
    </row>
    <row r="42" spans="1:12" ht="15" customHeight="1" thickBot="1" x14ac:dyDescent="0.3">
      <c r="A42" s="15"/>
      <c r="B42" s="15"/>
      <c r="C42" s="249" t="s">
        <v>11</v>
      </c>
      <c r="D42" s="251"/>
      <c r="E42" s="15"/>
      <c r="F42" s="29" t="s">
        <v>16</v>
      </c>
      <c r="G42" s="27"/>
      <c r="H42" s="15"/>
      <c r="I42" s="252" t="s">
        <v>57</v>
      </c>
      <c r="J42" s="253"/>
      <c r="K42" s="50" t="s">
        <v>803</v>
      </c>
      <c r="L42" s="17"/>
    </row>
    <row r="43" spans="1:12" ht="15" customHeight="1" thickBot="1" x14ac:dyDescent="0.3">
      <c r="A43" s="15"/>
      <c r="B43" s="15"/>
      <c r="C43" s="249" t="s">
        <v>17</v>
      </c>
      <c r="D43" s="250"/>
      <c r="E43" s="250"/>
      <c r="F43" s="250"/>
      <c r="G43" s="251"/>
      <c r="H43" s="15"/>
      <c r="I43" s="252" t="s">
        <v>58</v>
      </c>
      <c r="J43" s="255"/>
      <c r="K43" s="46"/>
      <c r="L43" s="42"/>
    </row>
    <row r="44" spans="1:12" ht="15" customHeight="1" thickBot="1" x14ac:dyDescent="0.3">
      <c r="A44" s="15"/>
      <c r="B44" s="15"/>
      <c r="C44" s="249" t="s">
        <v>12</v>
      </c>
      <c r="D44" s="250"/>
      <c r="E44" s="250"/>
      <c r="F44" s="250"/>
      <c r="G44" s="251"/>
      <c r="H44" s="15"/>
      <c r="I44" s="252" t="s">
        <v>59</v>
      </c>
      <c r="J44" s="253"/>
      <c r="K44" s="59" t="s">
        <v>616</v>
      </c>
      <c r="L44" s="17"/>
    </row>
    <row r="45" spans="1:12" ht="15" customHeight="1" thickBot="1" x14ac:dyDescent="0.3">
      <c r="A45" s="15"/>
      <c r="B45" s="15"/>
      <c r="C45" s="249" t="s">
        <v>13</v>
      </c>
      <c r="D45" s="250"/>
      <c r="E45" s="250"/>
      <c r="F45" s="250"/>
      <c r="G45" s="251"/>
      <c r="H45" s="15"/>
      <c r="I45" s="252" t="s">
        <v>244</v>
      </c>
      <c r="J45" s="253"/>
      <c r="K45" s="47"/>
      <c r="L45" s="17"/>
    </row>
    <row r="46" spans="1:12" ht="15" customHeight="1" thickBot="1" x14ac:dyDescent="0.3">
      <c r="A46" s="15"/>
      <c r="B46" s="15"/>
      <c r="C46" s="249" t="s">
        <v>14</v>
      </c>
      <c r="D46" s="250"/>
      <c r="E46" s="250"/>
      <c r="F46" s="250"/>
      <c r="G46" s="251"/>
      <c r="H46" s="15"/>
      <c r="I46" s="256" t="s">
        <v>60</v>
      </c>
      <c r="J46" s="257"/>
      <c r="K46" s="48"/>
      <c r="L46" s="17"/>
    </row>
    <row r="47" spans="1:12" ht="15" customHeight="1" thickBot="1" x14ac:dyDescent="0.3">
      <c r="A47" s="15"/>
      <c r="B47" s="15"/>
      <c r="C47" s="249" t="s">
        <v>18</v>
      </c>
      <c r="D47" s="250"/>
      <c r="E47" s="250"/>
      <c r="F47" s="250"/>
      <c r="G47" s="251"/>
      <c r="H47" s="15"/>
      <c r="I47" s="258" t="s">
        <v>523</v>
      </c>
      <c r="J47" s="259"/>
      <c r="K47" s="262"/>
      <c r="L47" s="17"/>
    </row>
    <row r="48" spans="1:12" ht="15" customHeight="1" thickBot="1" x14ac:dyDescent="0.3">
      <c r="A48" s="15"/>
      <c r="B48" s="15"/>
      <c r="C48" s="249" t="s">
        <v>20</v>
      </c>
      <c r="D48" s="250"/>
      <c r="E48" s="250"/>
      <c r="F48" s="250"/>
      <c r="G48" s="251"/>
      <c r="H48" s="15"/>
      <c r="I48" s="260"/>
      <c r="J48" s="261"/>
      <c r="K48" s="263"/>
      <c r="L48" s="17"/>
    </row>
    <row r="49" spans="1:12" s="3" customFormat="1" ht="13.2" hidden="1" x14ac:dyDescent="0.25">
      <c r="A49" s="15"/>
      <c r="B49" s="15"/>
      <c r="C49" s="15"/>
      <c r="D49" s="15"/>
      <c r="E49" s="15"/>
      <c r="F49" s="15"/>
      <c r="G49" s="15"/>
      <c r="H49" s="15"/>
      <c r="L49" s="17"/>
    </row>
    <row r="50" spans="1:12" s="3" customFormat="1" ht="13.2" hidden="1" x14ac:dyDescent="0.25">
      <c r="A50" s="15"/>
      <c r="B50" s="15"/>
      <c r="C50" s="15"/>
      <c r="D50" s="15"/>
      <c r="E50"/>
      <c r="F50" s="15"/>
      <c r="G50" s="15"/>
      <c r="H50" s="15"/>
      <c r="I50" s="5"/>
      <c r="J50" s="5"/>
      <c r="K50" s="5"/>
      <c r="L50" s="17"/>
    </row>
    <row r="51" spans="1:12" ht="13.2" hidden="1" x14ac:dyDescent="0.25">
      <c r="A51" s="30"/>
      <c r="B51" s="30"/>
      <c r="C51" s="30"/>
      <c r="D51" s="30"/>
      <c r="E51" s="30"/>
      <c r="F51" s="30"/>
      <c r="G51" s="30"/>
      <c r="H51" s="30"/>
      <c r="L51" s="17"/>
    </row>
    <row r="52" spans="1:12" ht="13.2" hidden="1" x14ac:dyDescent="0.25">
      <c r="A52" s="30"/>
      <c r="B52" s="30"/>
      <c r="C52" s="30"/>
      <c r="D52" s="30"/>
      <c r="E52" s="30"/>
      <c r="F52" s="30"/>
      <c r="G52" s="30"/>
      <c r="H52" s="30"/>
      <c r="I52" s="1"/>
      <c r="J52" s="1"/>
      <c r="K52" s="1"/>
      <c r="L52" s="17"/>
    </row>
    <row r="53" spans="1:12" ht="13.2" x14ac:dyDescent="0.25">
      <c r="A53" s="17"/>
      <c r="B53" s="17"/>
      <c r="C53" s="17"/>
      <c r="D53" s="17"/>
      <c r="E53" s="17"/>
      <c r="F53" s="17"/>
      <c r="G53" s="17"/>
      <c r="H53" s="17"/>
      <c r="I53" s="31"/>
      <c r="J53" s="17"/>
      <c r="K53" s="17"/>
      <c r="L53" s="17"/>
    </row>
    <row r="54" spans="1:12" ht="13.2" hidden="1" x14ac:dyDescent="0.25"/>
    <row r="55" spans="1:12" ht="13.2" hidden="1" x14ac:dyDescent="0.25"/>
    <row r="56" spans="1:12" ht="13.2" hidden="1" x14ac:dyDescent="0.25"/>
    <row r="57" spans="1:12" ht="13.2" hidden="1" x14ac:dyDescent="0.25"/>
    <row r="58" spans="1:12" ht="13.2" hidden="1" x14ac:dyDescent="0.25"/>
    <row r="59" spans="1:12" ht="13.2" hidden="1" x14ac:dyDescent="0.25"/>
    <row r="60" spans="1:12" ht="13.2" hidden="1" x14ac:dyDescent="0.25"/>
    <row r="61" spans="1:12" ht="13.2" hidden="1" x14ac:dyDescent="0.25"/>
    <row r="62" spans="1:12" ht="13.2" hidden="1" x14ac:dyDescent="0.25"/>
    <row r="63" spans="1:12" ht="13.2" hidden="1" x14ac:dyDescent="0.25"/>
    <row r="64" spans="1:12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</sheetData>
  <sheetProtection formatCells="0" formatColumns="0" formatRows="0"/>
  <dataConsolidate/>
  <mergeCells count="68">
    <mergeCell ref="C46:G46"/>
    <mergeCell ref="I46:J46"/>
    <mergeCell ref="C47:G47"/>
    <mergeCell ref="I47:J48"/>
    <mergeCell ref="K47:K48"/>
    <mergeCell ref="C48:G48"/>
    <mergeCell ref="C43:G43"/>
    <mergeCell ref="I43:J43"/>
    <mergeCell ref="C44:G44"/>
    <mergeCell ref="I44:J44"/>
    <mergeCell ref="C45:G45"/>
    <mergeCell ref="I45:J45"/>
    <mergeCell ref="C40:G40"/>
    <mergeCell ref="I40:J40"/>
    <mergeCell ref="C41:D41"/>
    <mergeCell ref="I41:J41"/>
    <mergeCell ref="C42:D42"/>
    <mergeCell ref="I42:J42"/>
    <mergeCell ref="C39:G39"/>
    <mergeCell ref="I39:K39"/>
    <mergeCell ref="C28:D28"/>
    <mergeCell ref="E28:G28"/>
    <mergeCell ref="I28:K28"/>
    <mergeCell ref="C29:D29"/>
    <mergeCell ref="E29:G29"/>
    <mergeCell ref="I29:K29"/>
    <mergeCell ref="C30:D30"/>
    <mergeCell ref="E30:G30"/>
    <mergeCell ref="I30:K30"/>
    <mergeCell ref="B31:K31"/>
    <mergeCell ref="B32:K37"/>
    <mergeCell ref="C27:D27"/>
    <mergeCell ref="I27:K27"/>
    <mergeCell ref="B20:K20"/>
    <mergeCell ref="D21:E21"/>
    <mergeCell ref="F21:K21"/>
    <mergeCell ref="F22:K22"/>
    <mergeCell ref="F23:H23"/>
    <mergeCell ref="I23:J23"/>
    <mergeCell ref="F24:H24"/>
    <mergeCell ref="I24:J24"/>
    <mergeCell ref="F25:H25"/>
    <mergeCell ref="I25:J25"/>
    <mergeCell ref="B26:K26"/>
    <mergeCell ref="F18:G18"/>
    <mergeCell ref="H18:I18"/>
    <mergeCell ref="J18:K18"/>
    <mergeCell ref="F19:G19"/>
    <mergeCell ref="H19:I19"/>
    <mergeCell ref="J19:K19"/>
    <mergeCell ref="F17:K17"/>
    <mergeCell ref="B8:K8"/>
    <mergeCell ref="B9:K9"/>
    <mergeCell ref="B10:K10"/>
    <mergeCell ref="B11:K11"/>
    <mergeCell ref="B12:K12"/>
    <mergeCell ref="B13:K13"/>
    <mergeCell ref="B14:K14"/>
    <mergeCell ref="B15:E15"/>
    <mergeCell ref="F15:K15"/>
    <mergeCell ref="D16:E16"/>
    <mergeCell ref="F16:K16"/>
    <mergeCell ref="B7:K7"/>
    <mergeCell ref="I2:K2"/>
    <mergeCell ref="I3:K3"/>
    <mergeCell ref="I4:K4"/>
    <mergeCell ref="I5:K5"/>
    <mergeCell ref="I6:K6"/>
  </mergeCells>
  <dataValidations xWindow="44" yWindow="410" count="3">
    <dataValidation type="list" errorStyle="warning" allowBlank="1" showInputMessage="1" showErrorMessage="1" error="Não autorizado para o envio de amostras" promptTitle="Responsáveis autorizados" prompt="Responsáveis autorizados para o envio de amostras" sqref="WVI983056:WVN983056 IW15:JB15 SS15:SX15 ACO15:ACT15 AMK15:AMP15 AWG15:AWL15 BGC15:BGH15 BPY15:BQD15 BZU15:BZZ15 CJQ15:CJV15 CTM15:CTR15 DDI15:DDN15 DNE15:DNJ15 DXA15:DXF15 EGW15:EHB15 EQS15:EQX15 FAO15:FAT15 FKK15:FKP15 FUG15:FUL15 GEC15:GEH15 GNY15:GOD15 GXU15:GXZ15 HHQ15:HHV15 HRM15:HRR15 IBI15:IBN15 ILE15:ILJ15 IVA15:IVF15 JEW15:JFB15 JOS15:JOX15 JYO15:JYT15 KIK15:KIP15 KSG15:KSL15 LCC15:LCH15 LLY15:LMD15 LVU15:LVZ15 MFQ15:MFV15 MPM15:MPR15 MZI15:MZN15 NJE15:NJJ15 NTA15:NTF15 OCW15:ODB15 OMS15:OMX15 OWO15:OWT15 PGK15:PGP15 PQG15:PQL15 QAC15:QAH15 QJY15:QKD15 QTU15:QTZ15 RDQ15:RDV15 RNM15:RNR15 RXI15:RXN15 SHE15:SHJ15 SRA15:SRF15 TAW15:TBB15 TKS15:TKX15 TUO15:TUT15 UEK15:UEP15 UOG15:UOL15 UYC15:UYH15 VHY15:VID15 VRU15:VRZ15 WBQ15:WBV15 WLM15:WLR15 WVI15:WVN15 F65552:K65552 IW65552:JB65552 SS65552:SX65552 ACO65552:ACT65552 AMK65552:AMP65552 AWG65552:AWL65552 BGC65552:BGH65552 BPY65552:BQD65552 BZU65552:BZZ65552 CJQ65552:CJV65552 CTM65552:CTR65552 DDI65552:DDN65552 DNE65552:DNJ65552 DXA65552:DXF65552 EGW65552:EHB65552 EQS65552:EQX65552 FAO65552:FAT65552 FKK65552:FKP65552 FUG65552:FUL65552 GEC65552:GEH65552 GNY65552:GOD65552 GXU65552:GXZ65552 HHQ65552:HHV65552 HRM65552:HRR65552 IBI65552:IBN65552 ILE65552:ILJ65552 IVA65552:IVF65552 JEW65552:JFB65552 JOS65552:JOX65552 JYO65552:JYT65552 KIK65552:KIP65552 KSG65552:KSL65552 LCC65552:LCH65552 LLY65552:LMD65552 LVU65552:LVZ65552 MFQ65552:MFV65552 MPM65552:MPR65552 MZI65552:MZN65552 NJE65552:NJJ65552 NTA65552:NTF65552 OCW65552:ODB65552 OMS65552:OMX65552 OWO65552:OWT65552 PGK65552:PGP65552 PQG65552:PQL65552 QAC65552:QAH65552 QJY65552:QKD65552 QTU65552:QTZ65552 RDQ65552:RDV65552 RNM65552:RNR65552 RXI65552:RXN65552 SHE65552:SHJ65552 SRA65552:SRF65552 TAW65552:TBB65552 TKS65552:TKX65552 TUO65552:TUT65552 UEK65552:UEP65552 UOG65552:UOL65552 UYC65552:UYH65552 VHY65552:VID65552 VRU65552:VRZ65552 WBQ65552:WBV65552 WLM65552:WLR65552 WVI65552:WVN65552 F131088:K131088 IW131088:JB131088 SS131088:SX131088 ACO131088:ACT131088 AMK131088:AMP131088 AWG131088:AWL131088 BGC131088:BGH131088 BPY131088:BQD131088 BZU131088:BZZ131088 CJQ131088:CJV131088 CTM131088:CTR131088 DDI131088:DDN131088 DNE131088:DNJ131088 DXA131088:DXF131088 EGW131088:EHB131088 EQS131088:EQX131088 FAO131088:FAT131088 FKK131088:FKP131088 FUG131088:FUL131088 GEC131088:GEH131088 GNY131088:GOD131088 GXU131088:GXZ131088 HHQ131088:HHV131088 HRM131088:HRR131088 IBI131088:IBN131088 ILE131088:ILJ131088 IVA131088:IVF131088 JEW131088:JFB131088 JOS131088:JOX131088 JYO131088:JYT131088 KIK131088:KIP131088 KSG131088:KSL131088 LCC131088:LCH131088 LLY131088:LMD131088 LVU131088:LVZ131088 MFQ131088:MFV131088 MPM131088:MPR131088 MZI131088:MZN131088 NJE131088:NJJ131088 NTA131088:NTF131088 OCW131088:ODB131088 OMS131088:OMX131088 OWO131088:OWT131088 PGK131088:PGP131088 PQG131088:PQL131088 QAC131088:QAH131088 QJY131088:QKD131088 QTU131088:QTZ131088 RDQ131088:RDV131088 RNM131088:RNR131088 RXI131088:RXN131088 SHE131088:SHJ131088 SRA131088:SRF131088 TAW131088:TBB131088 TKS131088:TKX131088 TUO131088:TUT131088 UEK131088:UEP131088 UOG131088:UOL131088 UYC131088:UYH131088 VHY131088:VID131088 VRU131088:VRZ131088 WBQ131088:WBV131088 WLM131088:WLR131088 WVI131088:WVN131088 F196624:K196624 IW196624:JB196624 SS196624:SX196624 ACO196624:ACT196624 AMK196624:AMP196624 AWG196624:AWL196624 BGC196624:BGH196624 BPY196624:BQD196624 BZU196624:BZZ196624 CJQ196624:CJV196624 CTM196624:CTR196624 DDI196624:DDN196624 DNE196624:DNJ196624 DXA196624:DXF196624 EGW196624:EHB196624 EQS196624:EQX196624 FAO196624:FAT196624 FKK196624:FKP196624 FUG196624:FUL196624 GEC196624:GEH196624 GNY196624:GOD196624 GXU196624:GXZ196624 HHQ196624:HHV196624 HRM196624:HRR196624 IBI196624:IBN196624 ILE196624:ILJ196624 IVA196624:IVF196624 JEW196624:JFB196624 JOS196624:JOX196624 JYO196624:JYT196624 KIK196624:KIP196624 KSG196624:KSL196624 LCC196624:LCH196624 LLY196624:LMD196624 LVU196624:LVZ196624 MFQ196624:MFV196624 MPM196624:MPR196624 MZI196624:MZN196624 NJE196624:NJJ196624 NTA196624:NTF196624 OCW196624:ODB196624 OMS196624:OMX196624 OWO196624:OWT196624 PGK196624:PGP196624 PQG196624:PQL196624 QAC196624:QAH196624 QJY196624:QKD196624 QTU196624:QTZ196624 RDQ196624:RDV196624 RNM196624:RNR196624 RXI196624:RXN196624 SHE196624:SHJ196624 SRA196624:SRF196624 TAW196624:TBB196624 TKS196624:TKX196624 TUO196624:TUT196624 UEK196624:UEP196624 UOG196624:UOL196624 UYC196624:UYH196624 VHY196624:VID196624 VRU196624:VRZ196624 WBQ196624:WBV196624 WLM196624:WLR196624 WVI196624:WVN196624 F262160:K262160 IW262160:JB262160 SS262160:SX262160 ACO262160:ACT262160 AMK262160:AMP262160 AWG262160:AWL262160 BGC262160:BGH262160 BPY262160:BQD262160 BZU262160:BZZ262160 CJQ262160:CJV262160 CTM262160:CTR262160 DDI262160:DDN262160 DNE262160:DNJ262160 DXA262160:DXF262160 EGW262160:EHB262160 EQS262160:EQX262160 FAO262160:FAT262160 FKK262160:FKP262160 FUG262160:FUL262160 GEC262160:GEH262160 GNY262160:GOD262160 GXU262160:GXZ262160 HHQ262160:HHV262160 HRM262160:HRR262160 IBI262160:IBN262160 ILE262160:ILJ262160 IVA262160:IVF262160 JEW262160:JFB262160 JOS262160:JOX262160 JYO262160:JYT262160 KIK262160:KIP262160 KSG262160:KSL262160 LCC262160:LCH262160 LLY262160:LMD262160 LVU262160:LVZ262160 MFQ262160:MFV262160 MPM262160:MPR262160 MZI262160:MZN262160 NJE262160:NJJ262160 NTA262160:NTF262160 OCW262160:ODB262160 OMS262160:OMX262160 OWO262160:OWT262160 PGK262160:PGP262160 PQG262160:PQL262160 QAC262160:QAH262160 QJY262160:QKD262160 QTU262160:QTZ262160 RDQ262160:RDV262160 RNM262160:RNR262160 RXI262160:RXN262160 SHE262160:SHJ262160 SRA262160:SRF262160 TAW262160:TBB262160 TKS262160:TKX262160 TUO262160:TUT262160 UEK262160:UEP262160 UOG262160:UOL262160 UYC262160:UYH262160 VHY262160:VID262160 VRU262160:VRZ262160 WBQ262160:WBV262160 WLM262160:WLR262160 WVI262160:WVN262160 F327696:K327696 IW327696:JB327696 SS327696:SX327696 ACO327696:ACT327696 AMK327696:AMP327696 AWG327696:AWL327696 BGC327696:BGH327696 BPY327696:BQD327696 BZU327696:BZZ327696 CJQ327696:CJV327696 CTM327696:CTR327696 DDI327696:DDN327696 DNE327696:DNJ327696 DXA327696:DXF327696 EGW327696:EHB327696 EQS327696:EQX327696 FAO327696:FAT327696 FKK327696:FKP327696 FUG327696:FUL327696 GEC327696:GEH327696 GNY327696:GOD327696 GXU327696:GXZ327696 HHQ327696:HHV327696 HRM327696:HRR327696 IBI327696:IBN327696 ILE327696:ILJ327696 IVA327696:IVF327696 JEW327696:JFB327696 JOS327696:JOX327696 JYO327696:JYT327696 KIK327696:KIP327696 KSG327696:KSL327696 LCC327696:LCH327696 LLY327696:LMD327696 LVU327696:LVZ327696 MFQ327696:MFV327696 MPM327696:MPR327696 MZI327696:MZN327696 NJE327696:NJJ327696 NTA327696:NTF327696 OCW327696:ODB327696 OMS327696:OMX327696 OWO327696:OWT327696 PGK327696:PGP327696 PQG327696:PQL327696 QAC327696:QAH327696 QJY327696:QKD327696 QTU327696:QTZ327696 RDQ327696:RDV327696 RNM327696:RNR327696 RXI327696:RXN327696 SHE327696:SHJ327696 SRA327696:SRF327696 TAW327696:TBB327696 TKS327696:TKX327696 TUO327696:TUT327696 UEK327696:UEP327696 UOG327696:UOL327696 UYC327696:UYH327696 VHY327696:VID327696 VRU327696:VRZ327696 WBQ327696:WBV327696 WLM327696:WLR327696 WVI327696:WVN327696 F393232:K393232 IW393232:JB393232 SS393232:SX393232 ACO393232:ACT393232 AMK393232:AMP393232 AWG393232:AWL393232 BGC393232:BGH393232 BPY393232:BQD393232 BZU393232:BZZ393232 CJQ393232:CJV393232 CTM393232:CTR393232 DDI393232:DDN393232 DNE393232:DNJ393232 DXA393232:DXF393232 EGW393232:EHB393232 EQS393232:EQX393232 FAO393232:FAT393232 FKK393232:FKP393232 FUG393232:FUL393232 GEC393232:GEH393232 GNY393232:GOD393232 GXU393232:GXZ393232 HHQ393232:HHV393232 HRM393232:HRR393232 IBI393232:IBN393232 ILE393232:ILJ393232 IVA393232:IVF393232 JEW393232:JFB393232 JOS393232:JOX393232 JYO393232:JYT393232 KIK393232:KIP393232 KSG393232:KSL393232 LCC393232:LCH393232 LLY393232:LMD393232 LVU393232:LVZ393232 MFQ393232:MFV393232 MPM393232:MPR393232 MZI393232:MZN393232 NJE393232:NJJ393232 NTA393232:NTF393232 OCW393232:ODB393232 OMS393232:OMX393232 OWO393232:OWT393232 PGK393232:PGP393232 PQG393232:PQL393232 QAC393232:QAH393232 QJY393232:QKD393232 QTU393232:QTZ393232 RDQ393232:RDV393232 RNM393232:RNR393232 RXI393232:RXN393232 SHE393232:SHJ393232 SRA393232:SRF393232 TAW393232:TBB393232 TKS393232:TKX393232 TUO393232:TUT393232 UEK393232:UEP393232 UOG393232:UOL393232 UYC393232:UYH393232 VHY393232:VID393232 VRU393232:VRZ393232 WBQ393232:WBV393232 WLM393232:WLR393232 WVI393232:WVN393232 F458768:K458768 IW458768:JB458768 SS458768:SX458768 ACO458768:ACT458768 AMK458768:AMP458768 AWG458768:AWL458768 BGC458768:BGH458768 BPY458768:BQD458768 BZU458768:BZZ458768 CJQ458768:CJV458768 CTM458768:CTR458768 DDI458768:DDN458768 DNE458768:DNJ458768 DXA458768:DXF458768 EGW458768:EHB458768 EQS458768:EQX458768 FAO458768:FAT458768 FKK458768:FKP458768 FUG458768:FUL458768 GEC458768:GEH458768 GNY458768:GOD458768 GXU458768:GXZ458768 HHQ458768:HHV458768 HRM458768:HRR458768 IBI458768:IBN458768 ILE458768:ILJ458768 IVA458768:IVF458768 JEW458768:JFB458768 JOS458768:JOX458768 JYO458768:JYT458768 KIK458768:KIP458768 KSG458768:KSL458768 LCC458768:LCH458768 LLY458768:LMD458768 LVU458768:LVZ458768 MFQ458768:MFV458768 MPM458768:MPR458768 MZI458768:MZN458768 NJE458768:NJJ458768 NTA458768:NTF458768 OCW458768:ODB458768 OMS458768:OMX458768 OWO458768:OWT458768 PGK458768:PGP458768 PQG458768:PQL458768 QAC458768:QAH458768 QJY458768:QKD458768 QTU458768:QTZ458768 RDQ458768:RDV458768 RNM458768:RNR458768 RXI458768:RXN458768 SHE458768:SHJ458768 SRA458768:SRF458768 TAW458768:TBB458768 TKS458768:TKX458768 TUO458768:TUT458768 UEK458768:UEP458768 UOG458768:UOL458768 UYC458768:UYH458768 VHY458768:VID458768 VRU458768:VRZ458768 WBQ458768:WBV458768 WLM458768:WLR458768 WVI458768:WVN458768 F524304:K524304 IW524304:JB524304 SS524304:SX524304 ACO524304:ACT524304 AMK524304:AMP524304 AWG524304:AWL524304 BGC524304:BGH524304 BPY524304:BQD524304 BZU524304:BZZ524304 CJQ524304:CJV524304 CTM524304:CTR524304 DDI524304:DDN524304 DNE524304:DNJ524304 DXA524304:DXF524304 EGW524304:EHB524304 EQS524304:EQX524304 FAO524304:FAT524304 FKK524304:FKP524304 FUG524304:FUL524304 GEC524304:GEH524304 GNY524304:GOD524304 GXU524304:GXZ524304 HHQ524304:HHV524304 HRM524304:HRR524304 IBI524304:IBN524304 ILE524304:ILJ524304 IVA524304:IVF524304 JEW524304:JFB524304 JOS524304:JOX524304 JYO524304:JYT524304 KIK524304:KIP524304 KSG524304:KSL524304 LCC524304:LCH524304 LLY524304:LMD524304 LVU524304:LVZ524304 MFQ524304:MFV524304 MPM524304:MPR524304 MZI524304:MZN524304 NJE524304:NJJ524304 NTA524304:NTF524304 OCW524304:ODB524304 OMS524304:OMX524304 OWO524304:OWT524304 PGK524304:PGP524304 PQG524304:PQL524304 QAC524304:QAH524304 QJY524304:QKD524304 QTU524304:QTZ524304 RDQ524304:RDV524304 RNM524304:RNR524304 RXI524304:RXN524304 SHE524304:SHJ524304 SRA524304:SRF524304 TAW524304:TBB524304 TKS524304:TKX524304 TUO524304:TUT524304 UEK524304:UEP524304 UOG524304:UOL524304 UYC524304:UYH524304 VHY524304:VID524304 VRU524304:VRZ524304 WBQ524304:WBV524304 WLM524304:WLR524304 WVI524304:WVN524304 F589840:K589840 IW589840:JB589840 SS589840:SX589840 ACO589840:ACT589840 AMK589840:AMP589840 AWG589840:AWL589840 BGC589840:BGH589840 BPY589840:BQD589840 BZU589840:BZZ589840 CJQ589840:CJV589840 CTM589840:CTR589840 DDI589840:DDN589840 DNE589840:DNJ589840 DXA589840:DXF589840 EGW589840:EHB589840 EQS589840:EQX589840 FAO589840:FAT589840 FKK589840:FKP589840 FUG589840:FUL589840 GEC589840:GEH589840 GNY589840:GOD589840 GXU589840:GXZ589840 HHQ589840:HHV589840 HRM589840:HRR589840 IBI589840:IBN589840 ILE589840:ILJ589840 IVA589840:IVF589840 JEW589840:JFB589840 JOS589840:JOX589840 JYO589840:JYT589840 KIK589840:KIP589840 KSG589840:KSL589840 LCC589840:LCH589840 LLY589840:LMD589840 LVU589840:LVZ589840 MFQ589840:MFV589840 MPM589840:MPR589840 MZI589840:MZN589840 NJE589840:NJJ589840 NTA589840:NTF589840 OCW589840:ODB589840 OMS589840:OMX589840 OWO589840:OWT589840 PGK589840:PGP589840 PQG589840:PQL589840 QAC589840:QAH589840 QJY589840:QKD589840 QTU589840:QTZ589840 RDQ589840:RDV589840 RNM589840:RNR589840 RXI589840:RXN589840 SHE589840:SHJ589840 SRA589840:SRF589840 TAW589840:TBB589840 TKS589840:TKX589840 TUO589840:TUT589840 UEK589840:UEP589840 UOG589840:UOL589840 UYC589840:UYH589840 VHY589840:VID589840 VRU589840:VRZ589840 WBQ589840:WBV589840 WLM589840:WLR589840 WVI589840:WVN589840 F655376:K655376 IW655376:JB655376 SS655376:SX655376 ACO655376:ACT655376 AMK655376:AMP655376 AWG655376:AWL655376 BGC655376:BGH655376 BPY655376:BQD655376 BZU655376:BZZ655376 CJQ655376:CJV655376 CTM655376:CTR655376 DDI655376:DDN655376 DNE655376:DNJ655376 DXA655376:DXF655376 EGW655376:EHB655376 EQS655376:EQX655376 FAO655376:FAT655376 FKK655376:FKP655376 FUG655376:FUL655376 GEC655376:GEH655376 GNY655376:GOD655376 GXU655376:GXZ655376 HHQ655376:HHV655376 HRM655376:HRR655376 IBI655376:IBN655376 ILE655376:ILJ655376 IVA655376:IVF655376 JEW655376:JFB655376 JOS655376:JOX655376 JYO655376:JYT655376 KIK655376:KIP655376 KSG655376:KSL655376 LCC655376:LCH655376 LLY655376:LMD655376 LVU655376:LVZ655376 MFQ655376:MFV655376 MPM655376:MPR655376 MZI655376:MZN655376 NJE655376:NJJ655376 NTA655376:NTF655376 OCW655376:ODB655376 OMS655376:OMX655376 OWO655376:OWT655376 PGK655376:PGP655376 PQG655376:PQL655376 QAC655376:QAH655376 QJY655376:QKD655376 QTU655376:QTZ655376 RDQ655376:RDV655376 RNM655376:RNR655376 RXI655376:RXN655376 SHE655376:SHJ655376 SRA655376:SRF655376 TAW655376:TBB655376 TKS655376:TKX655376 TUO655376:TUT655376 UEK655376:UEP655376 UOG655376:UOL655376 UYC655376:UYH655376 VHY655376:VID655376 VRU655376:VRZ655376 WBQ655376:WBV655376 WLM655376:WLR655376 WVI655376:WVN655376 F720912:K720912 IW720912:JB720912 SS720912:SX720912 ACO720912:ACT720912 AMK720912:AMP720912 AWG720912:AWL720912 BGC720912:BGH720912 BPY720912:BQD720912 BZU720912:BZZ720912 CJQ720912:CJV720912 CTM720912:CTR720912 DDI720912:DDN720912 DNE720912:DNJ720912 DXA720912:DXF720912 EGW720912:EHB720912 EQS720912:EQX720912 FAO720912:FAT720912 FKK720912:FKP720912 FUG720912:FUL720912 GEC720912:GEH720912 GNY720912:GOD720912 GXU720912:GXZ720912 HHQ720912:HHV720912 HRM720912:HRR720912 IBI720912:IBN720912 ILE720912:ILJ720912 IVA720912:IVF720912 JEW720912:JFB720912 JOS720912:JOX720912 JYO720912:JYT720912 KIK720912:KIP720912 KSG720912:KSL720912 LCC720912:LCH720912 LLY720912:LMD720912 LVU720912:LVZ720912 MFQ720912:MFV720912 MPM720912:MPR720912 MZI720912:MZN720912 NJE720912:NJJ720912 NTA720912:NTF720912 OCW720912:ODB720912 OMS720912:OMX720912 OWO720912:OWT720912 PGK720912:PGP720912 PQG720912:PQL720912 QAC720912:QAH720912 QJY720912:QKD720912 QTU720912:QTZ720912 RDQ720912:RDV720912 RNM720912:RNR720912 RXI720912:RXN720912 SHE720912:SHJ720912 SRA720912:SRF720912 TAW720912:TBB720912 TKS720912:TKX720912 TUO720912:TUT720912 UEK720912:UEP720912 UOG720912:UOL720912 UYC720912:UYH720912 VHY720912:VID720912 VRU720912:VRZ720912 WBQ720912:WBV720912 WLM720912:WLR720912 WVI720912:WVN720912 F786448:K786448 IW786448:JB786448 SS786448:SX786448 ACO786448:ACT786448 AMK786448:AMP786448 AWG786448:AWL786448 BGC786448:BGH786448 BPY786448:BQD786448 BZU786448:BZZ786448 CJQ786448:CJV786448 CTM786448:CTR786448 DDI786448:DDN786448 DNE786448:DNJ786448 DXA786448:DXF786448 EGW786448:EHB786448 EQS786448:EQX786448 FAO786448:FAT786448 FKK786448:FKP786448 FUG786448:FUL786448 GEC786448:GEH786448 GNY786448:GOD786448 GXU786448:GXZ786448 HHQ786448:HHV786448 HRM786448:HRR786448 IBI786448:IBN786448 ILE786448:ILJ786448 IVA786448:IVF786448 JEW786448:JFB786448 JOS786448:JOX786448 JYO786448:JYT786448 KIK786448:KIP786448 KSG786448:KSL786448 LCC786448:LCH786448 LLY786448:LMD786448 LVU786448:LVZ786448 MFQ786448:MFV786448 MPM786448:MPR786448 MZI786448:MZN786448 NJE786448:NJJ786448 NTA786448:NTF786448 OCW786448:ODB786448 OMS786448:OMX786448 OWO786448:OWT786448 PGK786448:PGP786448 PQG786448:PQL786448 QAC786448:QAH786448 QJY786448:QKD786448 QTU786448:QTZ786448 RDQ786448:RDV786448 RNM786448:RNR786448 RXI786448:RXN786448 SHE786448:SHJ786448 SRA786448:SRF786448 TAW786448:TBB786448 TKS786448:TKX786448 TUO786448:TUT786448 UEK786448:UEP786448 UOG786448:UOL786448 UYC786448:UYH786448 VHY786448:VID786448 VRU786448:VRZ786448 WBQ786448:WBV786448 WLM786448:WLR786448 WVI786448:WVN786448 F851984:K851984 IW851984:JB851984 SS851984:SX851984 ACO851984:ACT851984 AMK851984:AMP851984 AWG851984:AWL851984 BGC851984:BGH851984 BPY851984:BQD851984 BZU851984:BZZ851984 CJQ851984:CJV851984 CTM851984:CTR851984 DDI851984:DDN851984 DNE851984:DNJ851984 DXA851984:DXF851984 EGW851984:EHB851984 EQS851984:EQX851984 FAO851984:FAT851984 FKK851984:FKP851984 FUG851984:FUL851984 GEC851984:GEH851984 GNY851984:GOD851984 GXU851984:GXZ851984 HHQ851984:HHV851984 HRM851984:HRR851984 IBI851984:IBN851984 ILE851984:ILJ851984 IVA851984:IVF851984 JEW851984:JFB851984 JOS851984:JOX851984 JYO851984:JYT851984 KIK851984:KIP851984 KSG851984:KSL851984 LCC851984:LCH851984 LLY851984:LMD851984 LVU851984:LVZ851984 MFQ851984:MFV851984 MPM851984:MPR851984 MZI851984:MZN851984 NJE851984:NJJ851984 NTA851984:NTF851984 OCW851984:ODB851984 OMS851984:OMX851984 OWO851984:OWT851984 PGK851984:PGP851984 PQG851984:PQL851984 QAC851984:QAH851984 QJY851984:QKD851984 QTU851984:QTZ851984 RDQ851984:RDV851984 RNM851984:RNR851984 RXI851984:RXN851984 SHE851984:SHJ851984 SRA851984:SRF851984 TAW851984:TBB851984 TKS851984:TKX851984 TUO851984:TUT851984 UEK851984:UEP851984 UOG851984:UOL851984 UYC851984:UYH851984 VHY851984:VID851984 VRU851984:VRZ851984 WBQ851984:WBV851984 WLM851984:WLR851984 WVI851984:WVN851984 F917520:K917520 IW917520:JB917520 SS917520:SX917520 ACO917520:ACT917520 AMK917520:AMP917520 AWG917520:AWL917520 BGC917520:BGH917520 BPY917520:BQD917520 BZU917520:BZZ917520 CJQ917520:CJV917520 CTM917520:CTR917520 DDI917520:DDN917520 DNE917520:DNJ917520 DXA917520:DXF917520 EGW917520:EHB917520 EQS917520:EQX917520 FAO917520:FAT917520 FKK917520:FKP917520 FUG917520:FUL917520 GEC917520:GEH917520 GNY917520:GOD917520 GXU917520:GXZ917520 HHQ917520:HHV917520 HRM917520:HRR917520 IBI917520:IBN917520 ILE917520:ILJ917520 IVA917520:IVF917520 JEW917520:JFB917520 JOS917520:JOX917520 JYO917520:JYT917520 KIK917520:KIP917520 KSG917520:KSL917520 LCC917520:LCH917520 LLY917520:LMD917520 LVU917520:LVZ917520 MFQ917520:MFV917520 MPM917520:MPR917520 MZI917520:MZN917520 NJE917520:NJJ917520 NTA917520:NTF917520 OCW917520:ODB917520 OMS917520:OMX917520 OWO917520:OWT917520 PGK917520:PGP917520 PQG917520:PQL917520 QAC917520:QAH917520 QJY917520:QKD917520 QTU917520:QTZ917520 RDQ917520:RDV917520 RNM917520:RNR917520 RXI917520:RXN917520 SHE917520:SHJ917520 SRA917520:SRF917520 TAW917520:TBB917520 TKS917520:TKX917520 TUO917520:TUT917520 UEK917520:UEP917520 UOG917520:UOL917520 UYC917520:UYH917520 VHY917520:VID917520 VRU917520:VRZ917520 WBQ917520:WBV917520 WLM917520:WLR917520 WVI917520:WVN917520 F983056:K983056 IW983056:JB983056 SS983056:SX983056 ACO983056:ACT983056 AMK983056:AMP983056 AWG983056:AWL983056 BGC983056:BGH983056 BPY983056:BQD983056 BZU983056:BZZ983056 CJQ983056:CJV983056 CTM983056:CTR983056 DDI983056:DDN983056 DNE983056:DNJ983056 DXA983056:DXF983056 EGW983056:EHB983056 EQS983056:EQX983056 FAO983056:FAT983056 FKK983056:FKP983056 FUG983056:FUL983056 GEC983056:GEH983056 GNY983056:GOD983056 GXU983056:GXZ983056 HHQ983056:HHV983056 HRM983056:HRR983056 IBI983056:IBN983056 ILE983056:ILJ983056 IVA983056:IVF983056 JEW983056:JFB983056 JOS983056:JOX983056 JYO983056:JYT983056 KIK983056:KIP983056 KSG983056:KSL983056 LCC983056:LCH983056 LLY983056:LMD983056 LVU983056:LVZ983056 MFQ983056:MFV983056 MPM983056:MPR983056 MZI983056:MZN983056 NJE983056:NJJ983056 NTA983056:NTF983056 OCW983056:ODB983056 OMS983056:OMX983056 OWO983056:OWT983056 PGK983056:PGP983056 PQG983056:PQL983056 QAC983056:QAH983056 QJY983056:QKD983056 QTU983056:QTZ983056 RDQ983056:RDV983056 RNM983056:RNR983056 RXI983056:RXN983056 SHE983056:SHJ983056 SRA983056:SRF983056 TAW983056:TBB983056 TKS983056:TKX983056 TUO983056:TUT983056 UEK983056:UEP983056 UOG983056:UOL983056 UYC983056:UYH983056 VHY983056:VID983056 VRU983056:VRZ983056 WBQ983056:WBV983056 WLM983056:WLR983056" xr:uid="{00000000-0002-0000-0000-000000000000}">
      <formula1>"Andreia Gross, Antonio Maurílio Vasconcelos, Caroline Couto Santos, Cassiano Costa e Castro, Cesar Chaves, Daliane Eberhardt, Eduardo Marques, Frederico de Souza, Maisa Bastos Abram, Marcelo Almeida, Paulo Roberto Leite, Viviane Ferrari, Jonathan Rojas"</formula1>
    </dataValidation>
    <dataValidation allowBlank="1" showInputMessage="1" showErrorMessage="1" prompt="XX/XX/XXXX" sqref="K46" xr:uid="{00000000-0002-0000-0000-000001000000}"/>
    <dataValidation allowBlank="1" showInputMessage="1" showErrorMessage="1" promptTitle="Requisição de análise" prompt="Insira a RA no formato indicado_x000a_Ex: (019/SUREG-SA/2021)" sqref="K43" xr:uid="{00000000-0002-0000-0000-000002000000}"/>
  </dataValidations>
  <hyperlinks>
    <hyperlink ref="E27" r:id="rId1" xr:uid="{00000000-0004-0000-0000-000000000000}"/>
    <hyperlink ref="K25" r:id="rId2" xr:uid="{00000000-0004-0000-0000-000001000000}"/>
    <hyperlink ref="I27" r:id="rId3" xr:uid="{00000000-0004-0000-0000-000002000000}"/>
    <hyperlink ref="E30" r:id="rId4" xr:uid="{00000000-0004-0000-0000-000003000000}"/>
  </hyperlinks>
  <pageMargins left="0.511811024" right="0.511811024" top="0.78740157499999996" bottom="0.78740157499999996" header="0.31496062000000002" footer="0.31496062000000002"/>
  <pageSetup paperSize="9" scale="63" orientation="portrait" r:id="rId5"/>
  <headerFooter>
    <oddHeader>&amp;C&amp;A</oddHeader>
    <oddFooter>&amp;CPÁGINA 1</oddFooter>
  </headerFooter>
  <drawing r:id="rId6"/>
  <extLst>
    <ext xmlns:x14="http://schemas.microsoft.com/office/spreadsheetml/2009/9/main" uri="{CCE6A557-97BC-4b89-ADB6-D9C93CAAB3DF}">
      <x14:dataValidations xmlns:xm="http://schemas.microsoft.com/office/excel/2006/main" xWindow="44" yWindow="410" count="5">
        <x14:dataValidation type="list" errorStyle="warning" allowBlank="1" showInputMessage="1" showErrorMessage="1" error="Selecione uma Unidade Regional válida" promptTitle="Unidade Regional" prompt="Unidade Regional que está vinculada a RA" xr:uid="{00000000-0002-0000-0000-000003000000}">
          <x14:formula1>
            <xm:f>Controle!$R$3:$R$16</xm:f>
          </x14:formula1>
          <xm:sqref>F16:K16</xm:sqref>
        </x14:dataValidation>
        <x14:dataValidation type="list" allowBlank="1" showInputMessage="1" showErrorMessage="1" xr:uid="{00000000-0002-0000-0000-000004000000}">
          <x14:formula1>
            <xm:f>Controle!$S$34:$S$54</xm:f>
          </x14:formula1>
          <xm:sqref>E28:G28</xm:sqref>
        </x14:dataValidation>
        <x14:dataValidation type="list" allowBlank="1" showInputMessage="1" showErrorMessage="1" xr:uid="{00000000-0002-0000-0000-000005000000}">
          <x14:formula1>
            <xm:f>Controle!$S$20:$S$33</xm:f>
          </x14:formula1>
          <xm:sqref>E29:G29</xm:sqref>
        </x14:dataValidation>
        <x14:dataValidation type="list" errorStyle="warning" allowBlank="1" showInputMessage="1" showErrorMessage="1" error="Não autorizado para o envio de amostras" promptTitle="Responsáveis autorizados" prompt="Responsáveis autorizados para o envio de amostras" xr:uid="{00000000-0002-0000-0000-000006000000}">
          <x14:formula1>
            <xm:f>Controle!$R$20:$R$33</xm:f>
          </x14:formula1>
          <xm:sqref>F15:K15</xm:sqref>
        </x14:dataValidation>
        <x14:dataValidation type="list" allowBlank="1" showInputMessage="1" showErrorMessage="1" xr:uid="{00000000-0002-0000-0000-000007000000}">
          <x14:formula1>
            <xm:f>Controle!$E$2:$E$131</xm:f>
          </x14:formula1>
          <xm:sqref>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>
    <pageSetUpPr fitToPage="1"/>
  </sheetPr>
  <dimension ref="A1:CB111"/>
  <sheetViews>
    <sheetView tabSelected="1" topLeftCell="A56" zoomScale="70" zoomScaleNormal="70" zoomScaleSheetLayoutView="40" workbookViewId="0">
      <selection activeCell="E63" sqref="E63:E68"/>
    </sheetView>
  </sheetViews>
  <sheetFormatPr defaultColWidth="0" defaultRowHeight="13.2" zeroHeight="1" x14ac:dyDescent="0.25"/>
  <cols>
    <col min="1" max="1" width="2.77734375" style="1" customWidth="1"/>
    <col min="2" max="2" width="3.44140625" style="60" bestFit="1" customWidth="1"/>
    <col min="3" max="4" width="25.77734375" style="6" customWidth="1"/>
    <col min="5" max="5" width="25.5546875" style="5" customWidth="1"/>
    <col min="6" max="6" width="24.77734375" style="5" bestFit="1" customWidth="1"/>
    <col min="7" max="7" width="14.77734375" style="5" customWidth="1"/>
    <col min="8" max="8" width="16.21875" style="5" customWidth="1"/>
    <col min="9" max="9" width="13.44140625" style="5" customWidth="1"/>
    <col min="10" max="11" width="16.21875" style="5" customWidth="1"/>
    <col min="12" max="12" width="5.77734375" style="5" customWidth="1"/>
    <col min="13" max="13" width="4.77734375" style="5" customWidth="1"/>
    <col min="14" max="14" width="6" style="5" customWidth="1"/>
    <col min="15" max="15" width="5.21875" style="5" bestFit="1" customWidth="1"/>
    <col min="16" max="16" width="5.77734375" style="5" customWidth="1"/>
    <col min="17" max="21" width="5.21875" style="5" bestFit="1" customWidth="1"/>
    <col min="22" max="33" width="4.21875" style="5" customWidth="1"/>
    <col min="34" max="34" width="5.21875" style="5" bestFit="1" customWidth="1"/>
    <col min="35" max="76" width="4.21875" style="5" customWidth="1"/>
    <col min="77" max="77" width="16.77734375" style="5" customWidth="1"/>
    <col min="78" max="78" width="18" style="5" customWidth="1"/>
    <col min="79" max="79" width="38.21875" style="5" customWidth="1"/>
    <col min="80" max="80" width="2.77734375" style="1" customWidth="1"/>
    <col min="81" max="16384" width="16.21875" style="1" hidden="1"/>
  </cols>
  <sheetData>
    <row r="1" spans="1:80" ht="13.8" thickBot="1" x14ac:dyDescent="0.3">
      <c r="A1" s="267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7"/>
      <c r="AV1" s="267"/>
      <c r="AW1" s="267"/>
      <c r="AX1" s="267"/>
      <c r="AY1" s="267"/>
      <c r="AZ1" s="267"/>
      <c r="BA1" s="267"/>
      <c r="BB1" s="267"/>
      <c r="BC1" s="267"/>
      <c r="BD1" s="267"/>
      <c r="BE1" s="267"/>
      <c r="BF1" s="267"/>
      <c r="BG1" s="267"/>
      <c r="BH1" s="267"/>
      <c r="BI1" s="267"/>
      <c r="BJ1" s="267"/>
      <c r="BK1" s="267"/>
      <c r="BL1" s="267"/>
      <c r="BM1" s="267"/>
      <c r="BN1" s="267"/>
      <c r="BO1" s="267"/>
      <c r="BP1" s="267"/>
      <c r="BQ1" s="267"/>
      <c r="BR1" s="267"/>
      <c r="BS1" s="267"/>
      <c r="BT1" s="267"/>
      <c r="BU1" s="267"/>
      <c r="BV1" s="267"/>
      <c r="BW1" s="267"/>
      <c r="BX1" s="267"/>
      <c r="BY1" s="267"/>
      <c r="BZ1" s="267"/>
      <c r="CA1" s="267"/>
      <c r="CB1" s="267"/>
    </row>
    <row r="2" spans="1:80" ht="35.1" customHeight="1" x14ac:dyDescent="0.3">
      <c r="A2" s="268"/>
      <c r="B2" s="269"/>
      <c r="C2" s="270"/>
      <c r="D2" s="270"/>
      <c r="E2" s="270"/>
      <c r="F2" s="270"/>
      <c r="G2" s="32"/>
      <c r="H2" s="32"/>
      <c r="I2" s="3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109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107"/>
    </row>
    <row r="3" spans="1:80" ht="35.1" customHeight="1" x14ac:dyDescent="0.25">
      <c r="A3" s="268"/>
      <c r="B3" s="271"/>
      <c r="C3" s="268"/>
      <c r="D3" s="268"/>
      <c r="E3" s="268"/>
      <c r="F3" s="268"/>
      <c r="G3" s="17"/>
      <c r="H3" s="17"/>
      <c r="I3" s="17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110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34"/>
      <c r="CB3" s="107"/>
    </row>
    <row r="4" spans="1:80" ht="35.1" customHeight="1" x14ac:dyDescent="0.25">
      <c r="A4" s="268"/>
      <c r="B4" s="271"/>
      <c r="C4" s="268"/>
      <c r="D4" s="268"/>
      <c r="E4" s="268"/>
      <c r="F4" s="268"/>
      <c r="G4" s="17"/>
      <c r="H4" s="17"/>
      <c r="I4" s="17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274"/>
      <c r="AO4" s="274"/>
      <c r="AP4" s="274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111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35"/>
      <c r="CB4" s="107"/>
    </row>
    <row r="5" spans="1:80" ht="35.1" customHeight="1" x14ac:dyDescent="0.3">
      <c r="A5" s="268"/>
      <c r="B5" s="271"/>
      <c r="C5" s="268"/>
      <c r="D5" s="268"/>
      <c r="E5" s="268"/>
      <c r="F5" s="268"/>
      <c r="G5" s="17"/>
      <c r="H5" s="17"/>
      <c r="I5" s="17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112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36"/>
      <c r="CB5" s="107"/>
    </row>
    <row r="6" spans="1:80" ht="35.1" customHeight="1" thickBot="1" x14ac:dyDescent="0.3">
      <c r="A6" s="268"/>
      <c r="B6" s="271"/>
      <c r="C6" s="268"/>
      <c r="D6" s="268"/>
      <c r="E6" s="268"/>
      <c r="F6" s="268"/>
      <c r="G6" s="37"/>
      <c r="H6" s="37"/>
      <c r="I6" s="37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113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8"/>
      <c r="CB6" s="107"/>
    </row>
    <row r="7" spans="1:80" s="2" customFormat="1" ht="27" customHeight="1" thickBot="1" x14ac:dyDescent="0.3">
      <c r="A7" s="268"/>
      <c r="B7" s="277"/>
      <c r="C7" s="278" t="s">
        <v>652</v>
      </c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80"/>
      <c r="CB7" s="107"/>
    </row>
    <row r="8" spans="1:80" ht="51.75" customHeight="1" thickBot="1" x14ac:dyDescent="0.3">
      <c r="A8" s="268"/>
      <c r="B8" s="277"/>
      <c r="C8" s="281" t="s">
        <v>29</v>
      </c>
      <c r="D8" s="282"/>
      <c r="E8" s="287" t="s">
        <v>77</v>
      </c>
      <c r="F8" s="287" t="s">
        <v>536</v>
      </c>
      <c r="G8" s="287" t="s">
        <v>524</v>
      </c>
      <c r="H8" s="290" t="s">
        <v>21</v>
      </c>
      <c r="I8" s="290" t="s">
        <v>28</v>
      </c>
      <c r="J8" s="290" t="s">
        <v>534</v>
      </c>
      <c r="K8" s="322" t="s">
        <v>535</v>
      </c>
      <c r="L8" s="324" t="s">
        <v>437</v>
      </c>
      <c r="M8" s="325"/>
      <c r="N8" s="325"/>
      <c r="O8" s="325"/>
      <c r="P8" s="325"/>
      <c r="Q8" s="325"/>
      <c r="R8" s="325"/>
      <c r="S8" s="325"/>
      <c r="T8" s="325"/>
      <c r="U8" s="325"/>
      <c r="V8" s="326"/>
      <c r="W8" s="325" t="s">
        <v>497</v>
      </c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5"/>
      <c r="BD8" s="325"/>
      <c r="BE8" s="325"/>
      <c r="BF8" s="325"/>
      <c r="BG8" s="325"/>
      <c r="BH8" s="325"/>
      <c r="BI8" s="325"/>
      <c r="BJ8" s="325"/>
      <c r="BK8" s="325"/>
      <c r="BL8" s="325"/>
      <c r="BM8" s="325"/>
      <c r="BN8" s="325"/>
      <c r="BO8" s="325"/>
      <c r="BP8" s="325"/>
      <c r="BQ8" s="325"/>
      <c r="BR8" s="325"/>
      <c r="BS8" s="325"/>
      <c r="BT8" s="325"/>
      <c r="BU8" s="325"/>
      <c r="BV8" s="325"/>
      <c r="BW8" s="325"/>
      <c r="BX8" s="325"/>
      <c r="BY8" s="293" t="s">
        <v>522</v>
      </c>
      <c r="BZ8" s="293" t="s">
        <v>743</v>
      </c>
      <c r="CA8" s="264" t="s">
        <v>238</v>
      </c>
      <c r="CB8" s="107"/>
    </row>
    <row r="9" spans="1:80" ht="51.75" customHeight="1" thickBot="1" x14ac:dyDescent="0.3">
      <c r="A9" s="268"/>
      <c r="B9" s="277"/>
      <c r="C9" s="283"/>
      <c r="D9" s="284"/>
      <c r="E9" s="288"/>
      <c r="F9" s="288"/>
      <c r="G9" s="288"/>
      <c r="H9" s="291"/>
      <c r="I9" s="291"/>
      <c r="J9" s="291"/>
      <c r="K9" s="323"/>
      <c r="L9" s="90">
        <v>1</v>
      </c>
      <c r="M9" s="90">
        <v>2</v>
      </c>
      <c r="N9" s="90">
        <v>3</v>
      </c>
      <c r="O9" s="90">
        <v>4</v>
      </c>
      <c r="P9" s="90">
        <v>5</v>
      </c>
      <c r="Q9" s="90">
        <v>6</v>
      </c>
      <c r="R9" s="90">
        <v>7</v>
      </c>
      <c r="S9" s="90">
        <v>8</v>
      </c>
      <c r="T9" s="90">
        <v>9</v>
      </c>
      <c r="U9" s="90">
        <v>10</v>
      </c>
      <c r="V9" s="129">
        <v>11</v>
      </c>
      <c r="W9" s="118">
        <v>12</v>
      </c>
      <c r="X9" s="90">
        <v>13</v>
      </c>
      <c r="Y9" s="90">
        <v>14</v>
      </c>
      <c r="Z9" s="90">
        <v>15</v>
      </c>
      <c r="AA9" s="90">
        <v>16</v>
      </c>
      <c r="AB9" s="90">
        <v>17</v>
      </c>
      <c r="AC9" s="90">
        <v>18</v>
      </c>
      <c r="AD9" s="90">
        <v>19</v>
      </c>
      <c r="AE9" s="90">
        <v>20</v>
      </c>
      <c r="AF9" s="90">
        <v>21</v>
      </c>
      <c r="AG9" s="90">
        <v>22</v>
      </c>
      <c r="AH9" s="90">
        <v>23</v>
      </c>
      <c r="AI9" s="90">
        <v>24</v>
      </c>
      <c r="AJ9" s="90">
        <v>25</v>
      </c>
      <c r="AK9" s="90">
        <v>26</v>
      </c>
      <c r="AL9" s="90">
        <v>27</v>
      </c>
      <c r="AM9" s="90">
        <v>28</v>
      </c>
      <c r="AN9" s="90">
        <v>29</v>
      </c>
      <c r="AO9" s="90">
        <v>30</v>
      </c>
      <c r="AP9" s="90">
        <v>31</v>
      </c>
      <c r="AQ9" s="90">
        <v>32</v>
      </c>
      <c r="AR9" s="90">
        <v>33</v>
      </c>
      <c r="AS9" s="90">
        <v>34</v>
      </c>
      <c r="AT9" s="90">
        <v>35</v>
      </c>
      <c r="AU9" s="90">
        <v>36</v>
      </c>
      <c r="AV9" s="90">
        <v>37</v>
      </c>
      <c r="AW9" s="90">
        <v>38</v>
      </c>
      <c r="AX9" s="90">
        <v>39</v>
      </c>
      <c r="AY9" s="90">
        <v>40</v>
      </c>
      <c r="AZ9" s="90">
        <v>41</v>
      </c>
      <c r="BA9" s="90">
        <v>42</v>
      </c>
      <c r="BB9" s="90">
        <v>43</v>
      </c>
      <c r="BC9" s="90">
        <v>44</v>
      </c>
      <c r="BD9" s="90">
        <v>45</v>
      </c>
      <c r="BE9" s="90">
        <v>46</v>
      </c>
      <c r="BF9" s="90">
        <v>47</v>
      </c>
      <c r="BG9" s="90">
        <v>48</v>
      </c>
      <c r="BH9" s="90">
        <v>49</v>
      </c>
      <c r="BI9" s="90">
        <v>50</v>
      </c>
      <c r="BJ9" s="90">
        <v>51</v>
      </c>
      <c r="BK9" s="90">
        <v>52</v>
      </c>
      <c r="BL9" s="90">
        <v>53</v>
      </c>
      <c r="BM9" s="90">
        <v>54</v>
      </c>
      <c r="BN9" s="90">
        <v>55</v>
      </c>
      <c r="BO9" s="90">
        <v>56</v>
      </c>
      <c r="BP9" s="90">
        <v>57</v>
      </c>
      <c r="BQ9" s="90">
        <v>58</v>
      </c>
      <c r="BR9" s="90">
        <v>59</v>
      </c>
      <c r="BS9" s="90">
        <v>60</v>
      </c>
      <c r="BT9" s="90">
        <v>61</v>
      </c>
      <c r="BU9" s="90">
        <v>62</v>
      </c>
      <c r="BV9" s="90">
        <v>63</v>
      </c>
      <c r="BW9" s="90">
        <v>64</v>
      </c>
      <c r="BX9" s="90">
        <v>65</v>
      </c>
      <c r="BY9" s="294"/>
      <c r="BZ9" s="294"/>
      <c r="CA9" s="265"/>
      <c r="CB9" s="107"/>
    </row>
    <row r="10" spans="1:80" ht="88.95" customHeight="1" thickBot="1" x14ac:dyDescent="0.3">
      <c r="A10" s="268"/>
      <c r="B10" s="277"/>
      <c r="C10" s="285"/>
      <c r="D10" s="286"/>
      <c r="E10" s="288"/>
      <c r="F10" s="288"/>
      <c r="G10" s="288"/>
      <c r="H10" s="291"/>
      <c r="I10" s="291"/>
      <c r="J10" s="291"/>
      <c r="K10" s="323"/>
      <c r="L10" s="71">
        <v>35.450000000000003</v>
      </c>
      <c r="M10" s="72">
        <v>12.04</v>
      </c>
      <c r="N10" s="72">
        <v>31.45</v>
      </c>
      <c r="O10" s="72">
        <v>7.13</v>
      </c>
      <c r="P10" s="73">
        <v>29.84</v>
      </c>
      <c r="Q10" s="73">
        <v>8.7799999999999994</v>
      </c>
      <c r="R10" s="73">
        <v>4.92</v>
      </c>
      <c r="S10" s="73">
        <v>2.13</v>
      </c>
      <c r="T10" s="73">
        <v>11.88</v>
      </c>
      <c r="U10" s="73">
        <v>23.59</v>
      </c>
      <c r="V10" s="130">
        <v>3.49</v>
      </c>
      <c r="W10" s="72">
        <v>36.21</v>
      </c>
      <c r="X10" s="73">
        <v>28.38</v>
      </c>
      <c r="Y10" s="73">
        <v>335.33</v>
      </c>
      <c r="Z10" s="73">
        <v>335.33</v>
      </c>
      <c r="AA10" s="73">
        <v>210.67</v>
      </c>
      <c r="AB10" s="73">
        <v>341.46</v>
      </c>
      <c r="AC10" s="73">
        <v>341.46</v>
      </c>
      <c r="AD10" s="73">
        <v>357.13</v>
      </c>
      <c r="AE10" s="73">
        <v>378.23</v>
      </c>
      <c r="AF10" s="73">
        <v>336.23</v>
      </c>
      <c r="AG10" s="73">
        <v>282.12</v>
      </c>
      <c r="AH10" s="73">
        <v>113.31</v>
      </c>
      <c r="AI10" s="73">
        <v>58.26</v>
      </c>
      <c r="AJ10" s="73">
        <v>106.18</v>
      </c>
      <c r="AK10" s="73">
        <v>114.95</v>
      </c>
      <c r="AL10" s="73">
        <v>109.73</v>
      </c>
      <c r="AM10" s="73">
        <v>130.63</v>
      </c>
      <c r="AN10" s="73">
        <v>151.53</v>
      </c>
      <c r="AO10" s="73">
        <v>114.95</v>
      </c>
      <c r="AP10" s="73">
        <v>120.18</v>
      </c>
      <c r="AQ10" s="73">
        <v>148.91</v>
      </c>
      <c r="AR10" s="73">
        <v>99.28</v>
      </c>
      <c r="AS10" s="73">
        <v>125.4</v>
      </c>
      <c r="AT10" s="73">
        <v>99.56</v>
      </c>
      <c r="AU10" s="73">
        <v>67.94</v>
      </c>
      <c r="AV10" s="73">
        <v>50.88</v>
      </c>
      <c r="AW10" s="73">
        <v>90.25</v>
      </c>
      <c r="AX10" s="73">
        <v>71.540000000000006</v>
      </c>
      <c r="AY10" s="73">
        <v>58.26</v>
      </c>
      <c r="AZ10" s="73">
        <v>50.48</v>
      </c>
      <c r="BA10" s="73">
        <v>80.31</v>
      </c>
      <c r="BB10" s="73">
        <v>73.59</v>
      </c>
      <c r="BC10" s="73">
        <v>91.99</v>
      </c>
      <c r="BD10" s="73">
        <v>90.21</v>
      </c>
      <c r="BE10" s="73">
        <v>180.45</v>
      </c>
      <c r="BF10" s="73">
        <v>50.48</v>
      </c>
      <c r="BG10" s="73">
        <v>80.31</v>
      </c>
      <c r="BH10" s="73">
        <v>53.51</v>
      </c>
      <c r="BI10" s="73">
        <v>53.51</v>
      </c>
      <c r="BJ10" s="73">
        <v>53.51</v>
      </c>
      <c r="BK10" s="73">
        <v>59.46</v>
      </c>
      <c r="BL10" s="73">
        <v>69.36</v>
      </c>
      <c r="BM10" s="73">
        <v>33.44</v>
      </c>
      <c r="BN10" s="73">
        <v>19</v>
      </c>
      <c r="BO10" s="73">
        <v>101.24</v>
      </c>
      <c r="BP10" s="73">
        <v>102.21</v>
      </c>
      <c r="BQ10" s="73">
        <v>81.760000000000005</v>
      </c>
      <c r="BR10" s="73">
        <v>88.07</v>
      </c>
      <c r="BS10" s="73">
        <v>96.86</v>
      </c>
      <c r="BT10" s="73">
        <v>50.59</v>
      </c>
      <c r="BU10" s="73">
        <v>88.8</v>
      </c>
      <c r="BV10" s="73">
        <v>157.87</v>
      </c>
      <c r="BW10" s="73">
        <v>55.03</v>
      </c>
      <c r="BX10" s="73">
        <v>66.34</v>
      </c>
      <c r="BY10" s="294"/>
      <c r="BZ10" s="294"/>
      <c r="CA10" s="265"/>
      <c r="CB10" s="107"/>
    </row>
    <row r="11" spans="1:80" ht="189" thickBot="1" x14ac:dyDescent="0.3">
      <c r="A11" s="268"/>
      <c r="B11" s="277"/>
      <c r="C11" s="74" t="s">
        <v>26</v>
      </c>
      <c r="D11" s="75" t="s">
        <v>27</v>
      </c>
      <c r="E11" s="289"/>
      <c r="F11" s="289"/>
      <c r="G11" s="289"/>
      <c r="H11" s="292"/>
      <c r="I11" s="291"/>
      <c r="J11" s="292"/>
      <c r="K11" s="323"/>
      <c r="L11" s="131" t="s">
        <v>510</v>
      </c>
      <c r="M11" s="70" t="s">
        <v>511</v>
      </c>
      <c r="N11" s="70" t="s">
        <v>512</v>
      </c>
      <c r="O11" s="70" t="s">
        <v>617</v>
      </c>
      <c r="P11" s="70" t="s">
        <v>618</v>
      </c>
      <c r="Q11" s="70" t="s">
        <v>619</v>
      </c>
      <c r="R11" s="70" t="s">
        <v>620</v>
      </c>
      <c r="S11" s="70" t="s">
        <v>621</v>
      </c>
      <c r="T11" s="70" t="s">
        <v>622</v>
      </c>
      <c r="U11" s="70" t="s">
        <v>494</v>
      </c>
      <c r="V11" s="132" t="s">
        <v>513</v>
      </c>
      <c r="W11" s="126" t="s">
        <v>495</v>
      </c>
      <c r="X11" s="70" t="s">
        <v>496</v>
      </c>
      <c r="Y11" s="70" t="s">
        <v>540</v>
      </c>
      <c r="Z11" s="70" t="s">
        <v>623</v>
      </c>
      <c r="AA11" s="70" t="s">
        <v>624</v>
      </c>
      <c r="AB11" s="70" t="s">
        <v>625</v>
      </c>
      <c r="AC11" s="70" t="s">
        <v>626</v>
      </c>
      <c r="AD11" s="70" t="s">
        <v>627</v>
      </c>
      <c r="AE11" s="70" t="s">
        <v>628</v>
      </c>
      <c r="AF11" s="70" t="s">
        <v>629</v>
      </c>
      <c r="AG11" s="70" t="s">
        <v>630</v>
      </c>
      <c r="AH11" s="70" t="s">
        <v>582</v>
      </c>
      <c r="AI11" s="70" t="s">
        <v>583</v>
      </c>
      <c r="AJ11" s="70" t="s">
        <v>584</v>
      </c>
      <c r="AK11" s="70" t="s">
        <v>631</v>
      </c>
      <c r="AL11" s="70" t="s">
        <v>632</v>
      </c>
      <c r="AM11" s="70" t="s">
        <v>633</v>
      </c>
      <c r="AN11" s="70" t="s">
        <v>634</v>
      </c>
      <c r="AO11" s="70" t="s">
        <v>635</v>
      </c>
      <c r="AP11" s="70" t="s">
        <v>636</v>
      </c>
      <c r="AQ11" s="70" t="s">
        <v>637</v>
      </c>
      <c r="AR11" s="70" t="s">
        <v>638</v>
      </c>
      <c r="AS11" s="70" t="s">
        <v>639</v>
      </c>
      <c r="AT11" s="70" t="s">
        <v>640</v>
      </c>
      <c r="AU11" s="70" t="s">
        <v>641</v>
      </c>
      <c r="AV11" s="70" t="s">
        <v>642</v>
      </c>
      <c r="AW11" s="70" t="s">
        <v>643</v>
      </c>
      <c r="AX11" s="70" t="s">
        <v>644</v>
      </c>
      <c r="AY11" s="70" t="s">
        <v>586</v>
      </c>
      <c r="AZ11" s="70" t="s">
        <v>588</v>
      </c>
      <c r="BA11" s="70" t="s">
        <v>645</v>
      </c>
      <c r="BB11" s="70" t="s">
        <v>589</v>
      </c>
      <c r="BC11" s="70" t="s">
        <v>590</v>
      </c>
      <c r="BD11" s="70" t="s">
        <v>591</v>
      </c>
      <c r="BE11" s="70" t="s">
        <v>587</v>
      </c>
      <c r="BF11" s="70" t="s">
        <v>592</v>
      </c>
      <c r="BG11" s="70" t="s">
        <v>646</v>
      </c>
      <c r="BH11" s="70" t="s">
        <v>595</v>
      </c>
      <c r="BI11" s="70" t="s">
        <v>647</v>
      </c>
      <c r="BJ11" s="70" t="s">
        <v>593</v>
      </c>
      <c r="BK11" s="70" t="s">
        <v>594</v>
      </c>
      <c r="BL11" s="70" t="s">
        <v>615</v>
      </c>
      <c r="BM11" s="70" t="s">
        <v>648</v>
      </c>
      <c r="BN11" s="70" t="s">
        <v>649</v>
      </c>
      <c r="BO11" s="70" t="s">
        <v>705</v>
      </c>
      <c r="BP11" s="70" t="s">
        <v>585</v>
      </c>
      <c r="BQ11" s="70" t="s">
        <v>609</v>
      </c>
      <c r="BR11" s="70" t="s">
        <v>610</v>
      </c>
      <c r="BS11" s="70" t="s">
        <v>539</v>
      </c>
      <c r="BT11" s="70" t="s">
        <v>650</v>
      </c>
      <c r="BU11" s="70" t="s">
        <v>541</v>
      </c>
      <c r="BV11" s="70" t="s">
        <v>542</v>
      </c>
      <c r="BW11" s="70" t="s">
        <v>651</v>
      </c>
      <c r="BX11" s="70" t="s">
        <v>596</v>
      </c>
      <c r="BY11" s="295"/>
      <c r="BZ11" s="295"/>
      <c r="CA11" s="266"/>
      <c r="CB11" s="107"/>
    </row>
    <row r="12" spans="1:80" ht="20.100000000000001" hidden="1" customHeight="1" thickBot="1" x14ac:dyDescent="0.3">
      <c r="A12" s="268"/>
      <c r="B12" s="80"/>
      <c r="C12" s="81"/>
      <c r="D12" s="82"/>
      <c r="E12" s="83"/>
      <c r="F12" s="83"/>
      <c r="G12" s="83"/>
      <c r="H12" s="84"/>
      <c r="I12" s="85"/>
      <c r="J12" s="86"/>
      <c r="K12" s="323"/>
      <c r="L12" s="61">
        <v>0</v>
      </c>
      <c r="M12" s="61"/>
      <c r="N12" s="61"/>
      <c r="O12" s="61"/>
      <c r="P12" s="61">
        <v>0</v>
      </c>
      <c r="Q12" s="61"/>
      <c r="R12" s="61"/>
      <c r="S12" s="61"/>
      <c r="T12" s="61"/>
      <c r="U12" s="61"/>
      <c r="V12" s="61"/>
      <c r="W12" s="127"/>
      <c r="X12" s="61"/>
      <c r="Y12" s="61">
        <v>20</v>
      </c>
      <c r="Z12" s="61">
        <v>20</v>
      </c>
      <c r="AA12" s="61">
        <v>20</v>
      </c>
      <c r="AB12" s="61">
        <v>20</v>
      </c>
      <c r="AC12" s="61">
        <v>20</v>
      </c>
      <c r="AD12" s="61">
        <v>20</v>
      </c>
      <c r="AE12" s="61">
        <v>20</v>
      </c>
      <c r="AF12" s="61">
        <v>20</v>
      </c>
      <c r="AG12" s="61">
        <v>20</v>
      </c>
      <c r="AH12" s="61">
        <v>150</v>
      </c>
      <c r="AI12" s="61">
        <v>10</v>
      </c>
      <c r="AJ12" s="61">
        <v>10</v>
      </c>
      <c r="AK12" s="61">
        <v>10</v>
      </c>
      <c r="AL12" s="61">
        <v>10</v>
      </c>
      <c r="AM12" s="61">
        <v>10</v>
      </c>
      <c r="AN12" s="61">
        <v>10</v>
      </c>
      <c r="AO12" s="61">
        <v>10</v>
      </c>
      <c r="AP12" s="61">
        <v>10</v>
      </c>
      <c r="AQ12" s="61">
        <v>10</v>
      </c>
      <c r="AR12" s="61">
        <v>10</v>
      </c>
      <c r="AS12" s="61">
        <v>10</v>
      </c>
      <c r="AT12" s="61">
        <v>10</v>
      </c>
      <c r="AU12" s="61">
        <v>10</v>
      </c>
      <c r="AV12" s="61">
        <v>10</v>
      </c>
      <c r="AW12" s="61">
        <v>10</v>
      </c>
      <c r="AX12" s="61">
        <v>10</v>
      </c>
      <c r="AY12" s="61">
        <v>10</v>
      </c>
      <c r="AZ12" s="61">
        <v>10</v>
      </c>
      <c r="BA12" s="61">
        <v>10</v>
      </c>
      <c r="BB12" s="61">
        <v>10</v>
      </c>
      <c r="BC12" s="61">
        <v>10</v>
      </c>
      <c r="BD12" s="61">
        <v>10</v>
      </c>
      <c r="BE12" s="61">
        <v>10</v>
      </c>
      <c r="BF12" s="61">
        <v>10</v>
      </c>
      <c r="BG12" s="61">
        <v>10</v>
      </c>
      <c r="BH12" s="61">
        <v>10</v>
      </c>
      <c r="BI12" s="61">
        <v>10</v>
      </c>
      <c r="BJ12" s="61">
        <v>10</v>
      </c>
      <c r="BK12" s="61">
        <v>10</v>
      </c>
      <c r="BL12" s="61">
        <v>10</v>
      </c>
      <c r="BM12" s="61">
        <v>10</v>
      </c>
      <c r="BN12" s="61">
        <v>10</v>
      </c>
      <c r="BO12" s="61">
        <v>10</v>
      </c>
      <c r="BP12" s="61">
        <v>10</v>
      </c>
      <c r="BQ12" s="61">
        <v>10</v>
      </c>
      <c r="BR12" s="61">
        <v>10</v>
      </c>
      <c r="BS12" s="61">
        <v>10</v>
      </c>
      <c r="BT12" s="61">
        <v>10</v>
      </c>
      <c r="BU12" s="61">
        <v>10</v>
      </c>
      <c r="BV12" s="61">
        <v>20</v>
      </c>
      <c r="BW12" s="61">
        <v>150</v>
      </c>
      <c r="BX12" s="62">
        <v>300</v>
      </c>
      <c r="BY12" s="87"/>
      <c r="BZ12" s="87"/>
      <c r="CA12" s="88"/>
      <c r="CB12" s="107"/>
    </row>
    <row r="13" spans="1:80" ht="25.2" customHeight="1" thickBot="1" x14ac:dyDescent="0.3">
      <c r="A13" s="268"/>
      <c r="B13" s="120">
        <v>1</v>
      </c>
      <c r="C13" s="66">
        <v>-48.000081850000001</v>
      </c>
      <c r="D13" s="67">
        <v>-24.960216819999999</v>
      </c>
      <c r="E13" s="69" t="s">
        <v>805</v>
      </c>
      <c r="F13" s="65"/>
      <c r="G13" s="63" t="s">
        <v>849</v>
      </c>
      <c r="H13" s="69" t="s">
        <v>850</v>
      </c>
      <c r="I13" s="64" t="s">
        <v>560</v>
      </c>
      <c r="J13" s="68" t="s">
        <v>48</v>
      </c>
      <c r="K13" s="104">
        <v>1000</v>
      </c>
      <c r="L13" s="4"/>
      <c r="M13" s="100" t="str">
        <f>IF(COUNTA(L13)=1,$K13/1000*M$10,"")</f>
        <v/>
      </c>
      <c r="N13" s="4"/>
      <c r="O13" s="101" t="str">
        <f t="shared" ref="O13:Q55" si="0">IF(COUNTA(N13)=1,$K13/1000*O$10,"")</f>
        <v/>
      </c>
      <c r="P13" s="4" t="s">
        <v>804</v>
      </c>
      <c r="Q13" s="101">
        <f t="shared" si="0"/>
        <v>8.7799999999999994</v>
      </c>
      <c r="R13" s="4"/>
      <c r="S13" s="4"/>
      <c r="T13" s="4"/>
      <c r="U13" s="4"/>
      <c r="V13" s="4"/>
      <c r="W13" s="128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 t="s">
        <v>804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319"/>
      <c r="BZ13" s="122">
        <f t="shared" ref="BZ13:BZ56" si="1">SUMIF($L13:$BX13, "x", $L$12:$BX$12)</f>
        <v>150</v>
      </c>
      <c r="CA13" s="103"/>
      <c r="CB13" s="107"/>
    </row>
    <row r="14" spans="1:80" ht="25.2" customHeight="1" thickBot="1" x14ac:dyDescent="0.3">
      <c r="A14" s="268"/>
      <c r="B14" s="120">
        <v>2</v>
      </c>
      <c r="C14" s="66">
        <v>-48.14425172</v>
      </c>
      <c r="D14" s="67">
        <v>-24.908233389999999</v>
      </c>
      <c r="E14" s="69" t="s">
        <v>806</v>
      </c>
      <c r="F14" s="65"/>
      <c r="G14" s="63" t="s">
        <v>849</v>
      </c>
      <c r="H14" s="69" t="s">
        <v>851</v>
      </c>
      <c r="I14" s="64" t="s">
        <v>560</v>
      </c>
      <c r="J14" s="68" t="s">
        <v>48</v>
      </c>
      <c r="K14" s="104">
        <v>1000</v>
      </c>
      <c r="L14" s="4"/>
      <c r="M14" s="100" t="str">
        <f t="shared" ref="M14:M56" si="2">IF(COUNTA(L14)=1,$K14/1000*M$10,"")</f>
        <v/>
      </c>
      <c r="N14" s="4"/>
      <c r="O14" s="101" t="str">
        <f t="shared" si="0"/>
        <v/>
      </c>
      <c r="P14" s="4" t="s">
        <v>804</v>
      </c>
      <c r="Q14" s="101">
        <f t="shared" si="0"/>
        <v>8.7799999999999994</v>
      </c>
      <c r="R14" s="4"/>
      <c r="S14" s="4"/>
      <c r="T14" s="4"/>
      <c r="U14" s="4"/>
      <c r="V14" s="4"/>
      <c r="W14" s="128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 t="s">
        <v>804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296"/>
      <c r="BZ14" s="123">
        <f t="shared" si="1"/>
        <v>150</v>
      </c>
      <c r="CA14" s="104"/>
      <c r="CB14" s="107"/>
    </row>
    <row r="15" spans="1:80" ht="25.2" customHeight="1" thickBot="1" x14ac:dyDescent="0.3">
      <c r="A15" s="268"/>
      <c r="B15" s="120">
        <v>3</v>
      </c>
      <c r="C15" s="66">
        <v>-48.12578062</v>
      </c>
      <c r="D15" s="67">
        <v>-24.91199319</v>
      </c>
      <c r="E15" s="69" t="s">
        <v>807</v>
      </c>
      <c r="F15" s="65"/>
      <c r="G15" s="63" t="s">
        <v>849</v>
      </c>
      <c r="H15" s="69" t="s">
        <v>852</v>
      </c>
      <c r="I15" s="64" t="s">
        <v>560</v>
      </c>
      <c r="J15" s="68" t="s">
        <v>48</v>
      </c>
      <c r="K15" s="104">
        <v>1000</v>
      </c>
      <c r="L15" s="4"/>
      <c r="M15" s="100" t="str">
        <f t="shared" si="2"/>
        <v/>
      </c>
      <c r="N15" s="4"/>
      <c r="O15" s="101" t="str">
        <f t="shared" si="0"/>
        <v/>
      </c>
      <c r="P15" s="4" t="s">
        <v>804</v>
      </c>
      <c r="Q15" s="101">
        <f t="shared" si="0"/>
        <v>8.7799999999999994</v>
      </c>
      <c r="R15" s="4"/>
      <c r="S15" s="4"/>
      <c r="T15" s="4"/>
      <c r="U15" s="4"/>
      <c r="V15" s="4"/>
      <c r="W15" s="128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 t="s">
        <v>804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296"/>
      <c r="BZ15" s="123">
        <f t="shared" si="1"/>
        <v>150</v>
      </c>
      <c r="CA15" s="104"/>
      <c r="CB15" s="107"/>
    </row>
    <row r="16" spans="1:80" ht="25.2" customHeight="1" thickBot="1" x14ac:dyDescent="0.3">
      <c r="A16" s="268"/>
      <c r="B16" s="120">
        <v>4</v>
      </c>
      <c r="C16" s="66">
        <v>-48.142887170000002</v>
      </c>
      <c r="D16" s="67">
        <v>-24.904760100000001</v>
      </c>
      <c r="E16" s="69" t="s">
        <v>808</v>
      </c>
      <c r="F16" s="65"/>
      <c r="G16" s="63" t="s">
        <v>849</v>
      </c>
      <c r="H16" s="69" t="s">
        <v>853</v>
      </c>
      <c r="I16" s="64" t="s">
        <v>560</v>
      </c>
      <c r="J16" s="68" t="s">
        <v>48</v>
      </c>
      <c r="K16" s="104">
        <v>1000</v>
      </c>
      <c r="L16" s="4"/>
      <c r="M16" s="100" t="str">
        <f t="shared" si="2"/>
        <v/>
      </c>
      <c r="N16" s="4"/>
      <c r="O16" s="101" t="str">
        <f t="shared" si="0"/>
        <v/>
      </c>
      <c r="P16" s="4" t="s">
        <v>804</v>
      </c>
      <c r="Q16" s="101">
        <f t="shared" si="0"/>
        <v>8.7799999999999994</v>
      </c>
      <c r="R16" s="4"/>
      <c r="S16" s="4"/>
      <c r="T16" s="4"/>
      <c r="U16" s="4"/>
      <c r="V16" s="4"/>
      <c r="W16" s="128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804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296"/>
      <c r="BZ16" s="123">
        <f t="shared" si="1"/>
        <v>150</v>
      </c>
      <c r="CA16" s="104"/>
      <c r="CB16" s="107"/>
    </row>
    <row r="17" spans="1:80" ht="25.2" customHeight="1" thickBot="1" x14ac:dyDescent="0.3">
      <c r="A17" s="268"/>
      <c r="B17" s="120">
        <v>5</v>
      </c>
      <c r="C17" s="66">
        <v>-48.14801945</v>
      </c>
      <c r="D17" s="67">
        <v>-24.899290619999999</v>
      </c>
      <c r="E17" s="69" t="s">
        <v>809</v>
      </c>
      <c r="F17" s="65"/>
      <c r="G17" s="63" t="s">
        <v>849</v>
      </c>
      <c r="H17" s="69" t="s">
        <v>854</v>
      </c>
      <c r="I17" s="64" t="s">
        <v>560</v>
      </c>
      <c r="J17" s="68" t="s">
        <v>48</v>
      </c>
      <c r="K17" s="104">
        <v>1000</v>
      </c>
      <c r="L17" s="4"/>
      <c r="M17" s="100" t="str">
        <f t="shared" si="2"/>
        <v/>
      </c>
      <c r="N17" s="4"/>
      <c r="O17" s="101" t="str">
        <f t="shared" si="0"/>
        <v/>
      </c>
      <c r="P17" s="4" t="s">
        <v>804</v>
      </c>
      <c r="Q17" s="101">
        <f t="shared" si="0"/>
        <v>8.7799999999999994</v>
      </c>
      <c r="R17" s="4"/>
      <c r="S17" s="4"/>
      <c r="T17" s="4"/>
      <c r="U17" s="4"/>
      <c r="V17" s="4"/>
      <c r="W17" s="128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804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296"/>
      <c r="BZ17" s="123">
        <f t="shared" si="1"/>
        <v>150</v>
      </c>
      <c r="CA17" s="104"/>
      <c r="CB17" s="107"/>
    </row>
    <row r="18" spans="1:80" ht="25.2" customHeight="1" thickBot="1" x14ac:dyDescent="0.3">
      <c r="A18" s="268"/>
      <c r="B18" s="120">
        <v>6</v>
      </c>
      <c r="C18" s="66">
        <v>-48.145697370000001</v>
      </c>
      <c r="D18" s="67">
        <v>-24.898731810000001</v>
      </c>
      <c r="E18" s="69" t="s">
        <v>810</v>
      </c>
      <c r="F18" s="65"/>
      <c r="G18" s="63" t="s">
        <v>849</v>
      </c>
      <c r="H18" s="69" t="s">
        <v>855</v>
      </c>
      <c r="I18" s="64" t="s">
        <v>560</v>
      </c>
      <c r="J18" s="68" t="s">
        <v>48</v>
      </c>
      <c r="K18" s="104">
        <v>1000</v>
      </c>
      <c r="L18" s="4"/>
      <c r="M18" s="100" t="str">
        <f t="shared" si="2"/>
        <v/>
      </c>
      <c r="N18" s="4"/>
      <c r="O18" s="101" t="str">
        <f t="shared" si="0"/>
        <v/>
      </c>
      <c r="P18" s="4" t="s">
        <v>804</v>
      </c>
      <c r="Q18" s="101">
        <f t="shared" si="0"/>
        <v>8.7799999999999994</v>
      </c>
      <c r="R18" s="4"/>
      <c r="S18" s="4"/>
      <c r="T18" s="4"/>
      <c r="U18" s="4"/>
      <c r="V18" s="4"/>
      <c r="W18" s="128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804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296"/>
      <c r="BZ18" s="123">
        <f t="shared" si="1"/>
        <v>150</v>
      </c>
      <c r="CA18" s="104"/>
      <c r="CB18" s="107"/>
    </row>
    <row r="19" spans="1:80" ht="25.2" customHeight="1" thickBot="1" x14ac:dyDescent="0.3">
      <c r="A19" s="268"/>
      <c r="B19" s="120">
        <v>7</v>
      </c>
      <c r="C19" s="66">
        <v>-48.145697370000001</v>
      </c>
      <c r="D19" s="67">
        <v>-24.898731810000001</v>
      </c>
      <c r="E19" s="69" t="s">
        <v>811</v>
      </c>
      <c r="F19" s="65"/>
      <c r="G19" s="63" t="s">
        <v>849</v>
      </c>
      <c r="H19" s="69" t="s">
        <v>856</v>
      </c>
      <c r="I19" s="64" t="s">
        <v>560</v>
      </c>
      <c r="J19" s="68" t="s">
        <v>48</v>
      </c>
      <c r="K19" s="104">
        <v>1000</v>
      </c>
      <c r="L19" s="4"/>
      <c r="M19" s="100" t="str">
        <f t="shared" si="2"/>
        <v/>
      </c>
      <c r="N19" s="4"/>
      <c r="O19" s="101" t="str">
        <f t="shared" si="0"/>
        <v/>
      </c>
      <c r="P19" s="4" t="s">
        <v>804</v>
      </c>
      <c r="Q19" s="101">
        <f t="shared" si="0"/>
        <v>8.7799999999999994</v>
      </c>
      <c r="R19" s="4"/>
      <c r="S19" s="4"/>
      <c r="T19" s="4"/>
      <c r="U19" s="4"/>
      <c r="V19" s="4"/>
      <c r="W19" s="128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 t="s">
        <v>804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296"/>
      <c r="BZ19" s="123">
        <f t="shared" si="1"/>
        <v>150</v>
      </c>
      <c r="CA19" s="104"/>
      <c r="CB19" s="107"/>
    </row>
    <row r="20" spans="1:80" ht="25.2" customHeight="1" thickBot="1" x14ac:dyDescent="0.3">
      <c r="A20" s="268"/>
      <c r="B20" s="120">
        <v>8</v>
      </c>
      <c r="C20" s="66">
        <v>-47.994749900000002</v>
      </c>
      <c r="D20" s="67">
        <v>-24.887711410000001</v>
      </c>
      <c r="E20" s="69" t="s">
        <v>812</v>
      </c>
      <c r="F20" s="65"/>
      <c r="G20" s="63" t="s">
        <v>849</v>
      </c>
      <c r="H20" s="69" t="s">
        <v>857</v>
      </c>
      <c r="I20" s="64" t="s">
        <v>560</v>
      </c>
      <c r="J20" s="68" t="s">
        <v>48</v>
      </c>
      <c r="K20" s="104">
        <v>1000</v>
      </c>
      <c r="L20" s="4"/>
      <c r="M20" s="100" t="str">
        <f t="shared" si="2"/>
        <v/>
      </c>
      <c r="N20" s="4"/>
      <c r="O20" s="101" t="str">
        <f t="shared" si="0"/>
        <v/>
      </c>
      <c r="P20" s="4" t="s">
        <v>804</v>
      </c>
      <c r="Q20" s="101">
        <f t="shared" si="0"/>
        <v>8.7799999999999994</v>
      </c>
      <c r="R20" s="4"/>
      <c r="S20" s="4"/>
      <c r="T20" s="4"/>
      <c r="U20" s="4"/>
      <c r="V20" s="4"/>
      <c r="W20" s="128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 t="s">
        <v>804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296"/>
      <c r="BZ20" s="123">
        <f t="shared" si="1"/>
        <v>150</v>
      </c>
      <c r="CA20" s="104"/>
      <c r="CB20" s="107"/>
    </row>
    <row r="21" spans="1:80" ht="25.2" customHeight="1" thickBot="1" x14ac:dyDescent="0.3">
      <c r="A21" s="268"/>
      <c r="B21" s="120">
        <v>9</v>
      </c>
      <c r="C21" s="66">
        <v>-48.113422210000003</v>
      </c>
      <c r="D21" s="67">
        <v>-24.874152250000002</v>
      </c>
      <c r="E21" s="69" t="s">
        <v>813</v>
      </c>
      <c r="F21" s="65"/>
      <c r="G21" s="63" t="s">
        <v>849</v>
      </c>
      <c r="H21" s="69" t="s">
        <v>858</v>
      </c>
      <c r="I21" s="64" t="s">
        <v>560</v>
      </c>
      <c r="J21" s="68" t="s">
        <v>48</v>
      </c>
      <c r="K21" s="104">
        <v>1000</v>
      </c>
      <c r="L21" s="4"/>
      <c r="M21" s="100" t="str">
        <f t="shared" si="2"/>
        <v/>
      </c>
      <c r="N21" s="4"/>
      <c r="O21" s="101" t="str">
        <f t="shared" si="0"/>
        <v/>
      </c>
      <c r="P21" s="4" t="s">
        <v>804</v>
      </c>
      <c r="Q21" s="101">
        <f t="shared" si="0"/>
        <v>8.7799999999999994</v>
      </c>
      <c r="R21" s="4"/>
      <c r="S21" s="4"/>
      <c r="T21" s="4"/>
      <c r="U21" s="4"/>
      <c r="V21" s="4"/>
      <c r="W21" s="128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 t="s">
        <v>804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296"/>
      <c r="BZ21" s="123">
        <f t="shared" si="1"/>
        <v>150</v>
      </c>
      <c r="CA21" s="104"/>
      <c r="CB21" s="107"/>
    </row>
    <row r="22" spans="1:80" ht="25.2" customHeight="1" thickBot="1" x14ac:dyDescent="0.3">
      <c r="A22" s="268"/>
      <c r="B22" s="120">
        <v>10</v>
      </c>
      <c r="C22" s="66">
        <v>-48.113582890000004</v>
      </c>
      <c r="D22" s="67">
        <v>-24.873622950000001</v>
      </c>
      <c r="E22" s="69" t="s">
        <v>814</v>
      </c>
      <c r="F22" s="65"/>
      <c r="G22" s="63" t="s">
        <v>849</v>
      </c>
      <c r="H22" s="69" t="s">
        <v>859</v>
      </c>
      <c r="I22" s="64" t="s">
        <v>560</v>
      </c>
      <c r="J22" s="68" t="s">
        <v>48</v>
      </c>
      <c r="K22" s="104">
        <v>1000</v>
      </c>
      <c r="L22" s="4"/>
      <c r="M22" s="100" t="str">
        <f t="shared" si="2"/>
        <v/>
      </c>
      <c r="N22" s="4"/>
      <c r="O22" s="101" t="str">
        <f t="shared" si="0"/>
        <v/>
      </c>
      <c r="P22" s="4" t="s">
        <v>804</v>
      </c>
      <c r="Q22" s="101">
        <f t="shared" si="0"/>
        <v>8.7799999999999994</v>
      </c>
      <c r="R22" s="4"/>
      <c r="S22" s="4"/>
      <c r="T22" s="4"/>
      <c r="U22" s="4"/>
      <c r="V22" s="4"/>
      <c r="W22" s="128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 t="s">
        <v>804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296"/>
      <c r="BZ22" s="123">
        <f t="shared" si="1"/>
        <v>150</v>
      </c>
      <c r="CA22" s="104"/>
      <c r="CB22" s="107"/>
    </row>
    <row r="23" spans="1:80" ht="25.2" customHeight="1" thickBot="1" x14ac:dyDescent="0.3">
      <c r="A23" s="268"/>
      <c r="B23" s="120">
        <v>11</v>
      </c>
      <c r="C23" s="66">
        <v>-48.092216960000002</v>
      </c>
      <c r="D23" s="67">
        <v>-24.867297539999999</v>
      </c>
      <c r="E23" s="69" t="s">
        <v>815</v>
      </c>
      <c r="F23" s="65"/>
      <c r="G23" s="63" t="s">
        <v>849</v>
      </c>
      <c r="H23" s="69" t="s">
        <v>860</v>
      </c>
      <c r="I23" s="64" t="s">
        <v>560</v>
      </c>
      <c r="J23" s="68" t="s">
        <v>48</v>
      </c>
      <c r="K23" s="104">
        <v>1000</v>
      </c>
      <c r="L23" s="4"/>
      <c r="M23" s="100" t="str">
        <f t="shared" si="2"/>
        <v/>
      </c>
      <c r="N23" s="4"/>
      <c r="O23" s="101" t="str">
        <f t="shared" si="0"/>
        <v/>
      </c>
      <c r="P23" s="4" t="s">
        <v>804</v>
      </c>
      <c r="Q23" s="101">
        <f t="shared" si="0"/>
        <v>8.7799999999999994</v>
      </c>
      <c r="R23" s="4"/>
      <c r="S23" s="4"/>
      <c r="T23" s="4"/>
      <c r="U23" s="4"/>
      <c r="V23" s="4"/>
      <c r="W23" s="128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 t="s">
        <v>804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296"/>
      <c r="BZ23" s="123">
        <f t="shared" si="1"/>
        <v>150</v>
      </c>
      <c r="CA23" s="104"/>
      <c r="CB23" s="107"/>
    </row>
    <row r="24" spans="1:80" ht="25.2" customHeight="1" thickBot="1" x14ac:dyDescent="0.3">
      <c r="A24" s="268"/>
      <c r="B24" s="120">
        <v>12</v>
      </c>
      <c r="C24" s="66">
        <v>-48.095947899999999</v>
      </c>
      <c r="D24" s="67">
        <v>-24.864672110000001</v>
      </c>
      <c r="E24" s="69" t="s">
        <v>816</v>
      </c>
      <c r="F24" s="65"/>
      <c r="G24" s="63" t="s">
        <v>849</v>
      </c>
      <c r="H24" s="69" t="s">
        <v>861</v>
      </c>
      <c r="I24" s="64" t="s">
        <v>560</v>
      </c>
      <c r="J24" s="68" t="s">
        <v>48</v>
      </c>
      <c r="K24" s="104">
        <v>1000</v>
      </c>
      <c r="L24" s="4"/>
      <c r="M24" s="100" t="str">
        <f t="shared" si="2"/>
        <v/>
      </c>
      <c r="N24" s="4"/>
      <c r="O24" s="101" t="str">
        <f t="shared" si="0"/>
        <v/>
      </c>
      <c r="P24" s="4" t="s">
        <v>804</v>
      </c>
      <c r="Q24" s="101">
        <f t="shared" si="0"/>
        <v>8.7799999999999994</v>
      </c>
      <c r="R24" s="4"/>
      <c r="S24" s="4"/>
      <c r="T24" s="4"/>
      <c r="U24" s="4"/>
      <c r="V24" s="4"/>
      <c r="W24" s="128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 t="s">
        <v>804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296"/>
      <c r="BZ24" s="123">
        <f t="shared" si="1"/>
        <v>150</v>
      </c>
      <c r="CA24" s="104"/>
      <c r="CB24" s="107"/>
    </row>
    <row r="25" spans="1:80" ht="25.2" customHeight="1" thickBot="1" x14ac:dyDescent="0.3">
      <c r="A25" s="268"/>
      <c r="B25" s="120">
        <v>13</v>
      </c>
      <c r="C25" s="66">
        <v>-48.092774609999999</v>
      </c>
      <c r="D25" s="67">
        <v>-24.848539110000001</v>
      </c>
      <c r="E25" s="69" t="s">
        <v>817</v>
      </c>
      <c r="F25" s="65"/>
      <c r="G25" s="63" t="s">
        <v>849</v>
      </c>
      <c r="H25" s="69" t="s">
        <v>862</v>
      </c>
      <c r="I25" s="64" t="s">
        <v>560</v>
      </c>
      <c r="J25" s="68" t="s">
        <v>48</v>
      </c>
      <c r="K25" s="104">
        <v>1000</v>
      </c>
      <c r="L25" s="4"/>
      <c r="M25" s="100" t="str">
        <f t="shared" si="2"/>
        <v/>
      </c>
      <c r="N25" s="4"/>
      <c r="O25" s="101" t="str">
        <f t="shared" si="0"/>
        <v/>
      </c>
      <c r="P25" s="4" t="s">
        <v>804</v>
      </c>
      <c r="Q25" s="101">
        <f t="shared" si="0"/>
        <v>8.7799999999999994</v>
      </c>
      <c r="R25" s="4"/>
      <c r="S25" s="4"/>
      <c r="T25" s="4"/>
      <c r="U25" s="4"/>
      <c r="V25" s="4"/>
      <c r="W25" s="128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 t="s">
        <v>804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296"/>
      <c r="BZ25" s="123">
        <f t="shared" si="1"/>
        <v>150</v>
      </c>
      <c r="CA25" s="104"/>
      <c r="CB25" s="107"/>
    </row>
    <row r="26" spans="1:80" ht="25.2" customHeight="1" thickBot="1" x14ac:dyDescent="0.3">
      <c r="A26" s="268"/>
      <c r="B26" s="120">
        <v>14</v>
      </c>
      <c r="C26" s="66">
        <v>-48.178840819999998</v>
      </c>
      <c r="D26" s="67">
        <v>-24.84173461</v>
      </c>
      <c r="E26" s="69" t="s">
        <v>818</v>
      </c>
      <c r="F26" s="65"/>
      <c r="G26" s="63" t="s">
        <v>849</v>
      </c>
      <c r="H26" s="69" t="s">
        <v>863</v>
      </c>
      <c r="I26" s="64" t="s">
        <v>560</v>
      </c>
      <c r="J26" s="68" t="s">
        <v>48</v>
      </c>
      <c r="K26" s="104">
        <v>1000</v>
      </c>
      <c r="L26" s="4"/>
      <c r="M26" s="100" t="str">
        <f t="shared" si="2"/>
        <v/>
      </c>
      <c r="N26" s="4"/>
      <c r="O26" s="101" t="str">
        <f t="shared" si="0"/>
        <v/>
      </c>
      <c r="P26" s="4" t="s">
        <v>804</v>
      </c>
      <c r="Q26" s="101">
        <f t="shared" si="0"/>
        <v>8.7799999999999994</v>
      </c>
      <c r="R26" s="4"/>
      <c r="S26" s="4"/>
      <c r="T26" s="4"/>
      <c r="U26" s="4"/>
      <c r="V26" s="4"/>
      <c r="W26" s="128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 t="s">
        <v>804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296"/>
      <c r="BZ26" s="123">
        <f t="shared" si="1"/>
        <v>150</v>
      </c>
      <c r="CA26" s="104"/>
      <c r="CB26" s="107"/>
    </row>
    <row r="27" spans="1:80" ht="25.2" customHeight="1" thickBot="1" x14ac:dyDescent="0.3">
      <c r="A27" s="268"/>
      <c r="B27" s="120">
        <v>15</v>
      </c>
      <c r="C27" s="66">
        <v>-48.178840819999998</v>
      </c>
      <c r="D27" s="67">
        <v>-24.84173461</v>
      </c>
      <c r="E27" s="69" t="s">
        <v>819</v>
      </c>
      <c r="F27" s="65"/>
      <c r="G27" s="63" t="s">
        <v>849</v>
      </c>
      <c r="H27" s="69" t="s">
        <v>864</v>
      </c>
      <c r="I27" s="64" t="s">
        <v>560</v>
      </c>
      <c r="J27" s="68" t="s">
        <v>48</v>
      </c>
      <c r="K27" s="104">
        <v>1000</v>
      </c>
      <c r="L27" s="4"/>
      <c r="M27" s="100" t="str">
        <f t="shared" si="2"/>
        <v/>
      </c>
      <c r="N27" s="4"/>
      <c r="O27" s="101" t="str">
        <f t="shared" si="0"/>
        <v/>
      </c>
      <c r="P27" s="4" t="s">
        <v>804</v>
      </c>
      <c r="Q27" s="101">
        <f t="shared" si="0"/>
        <v>8.7799999999999994</v>
      </c>
      <c r="R27" s="4"/>
      <c r="S27" s="4"/>
      <c r="T27" s="4"/>
      <c r="U27" s="4"/>
      <c r="V27" s="4"/>
      <c r="W27" s="128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 t="s">
        <v>804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296"/>
      <c r="BZ27" s="123">
        <f t="shared" si="1"/>
        <v>150</v>
      </c>
      <c r="CA27" s="104"/>
      <c r="CB27" s="107"/>
    </row>
    <row r="28" spans="1:80" ht="25.2" customHeight="1" thickBot="1" x14ac:dyDescent="0.3">
      <c r="A28" s="268"/>
      <c r="B28" s="120">
        <v>16</v>
      </c>
      <c r="C28" s="66">
        <v>-48.177365620000003</v>
      </c>
      <c r="D28" s="67">
        <v>-24.841372839999998</v>
      </c>
      <c r="E28" s="69" t="s">
        <v>820</v>
      </c>
      <c r="F28" s="65"/>
      <c r="G28" s="63" t="s">
        <v>849</v>
      </c>
      <c r="H28" s="69" t="s">
        <v>865</v>
      </c>
      <c r="I28" s="64" t="s">
        <v>560</v>
      </c>
      <c r="J28" s="68" t="s">
        <v>48</v>
      </c>
      <c r="K28" s="104">
        <v>1000</v>
      </c>
      <c r="L28" s="4"/>
      <c r="M28" s="100" t="str">
        <f t="shared" si="2"/>
        <v/>
      </c>
      <c r="N28" s="4"/>
      <c r="O28" s="101" t="str">
        <f t="shared" si="0"/>
        <v/>
      </c>
      <c r="P28" s="4" t="s">
        <v>804</v>
      </c>
      <c r="Q28" s="101">
        <f t="shared" si="0"/>
        <v>8.7799999999999994</v>
      </c>
      <c r="R28" s="4"/>
      <c r="S28" s="4"/>
      <c r="T28" s="4"/>
      <c r="U28" s="4"/>
      <c r="V28" s="4"/>
      <c r="W28" s="128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 t="s">
        <v>804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296"/>
      <c r="BZ28" s="123">
        <f t="shared" si="1"/>
        <v>150</v>
      </c>
      <c r="CA28" s="104"/>
      <c r="CB28" s="107"/>
    </row>
    <row r="29" spans="1:80" ht="25.2" customHeight="1" thickBot="1" x14ac:dyDescent="0.3">
      <c r="A29" s="268"/>
      <c r="B29" s="120">
        <v>17</v>
      </c>
      <c r="C29" s="66">
        <v>-48.094809419999997</v>
      </c>
      <c r="D29" s="67">
        <v>-24.835945509999998</v>
      </c>
      <c r="E29" s="69" t="s">
        <v>821</v>
      </c>
      <c r="F29" s="65"/>
      <c r="G29" s="63" t="s">
        <v>849</v>
      </c>
      <c r="H29" s="69" t="s">
        <v>866</v>
      </c>
      <c r="I29" s="64" t="s">
        <v>560</v>
      </c>
      <c r="J29" s="68" t="s">
        <v>48</v>
      </c>
      <c r="K29" s="104">
        <v>1000</v>
      </c>
      <c r="L29" s="4"/>
      <c r="M29" s="100" t="str">
        <f t="shared" si="2"/>
        <v/>
      </c>
      <c r="N29" s="4"/>
      <c r="O29" s="101" t="str">
        <f t="shared" si="0"/>
        <v/>
      </c>
      <c r="P29" s="4" t="s">
        <v>804</v>
      </c>
      <c r="Q29" s="101">
        <f t="shared" si="0"/>
        <v>8.7799999999999994</v>
      </c>
      <c r="R29" s="4"/>
      <c r="S29" s="4"/>
      <c r="T29" s="4"/>
      <c r="U29" s="4"/>
      <c r="V29" s="4"/>
      <c r="W29" s="128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 t="s">
        <v>804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296"/>
      <c r="BZ29" s="123">
        <f t="shared" si="1"/>
        <v>150</v>
      </c>
      <c r="CA29" s="104"/>
      <c r="CB29" s="107"/>
    </row>
    <row r="30" spans="1:80" ht="25.2" customHeight="1" thickBot="1" x14ac:dyDescent="0.3">
      <c r="A30" s="268"/>
      <c r="B30" s="120">
        <v>18</v>
      </c>
      <c r="C30" s="66">
        <v>-48.092403310000002</v>
      </c>
      <c r="D30" s="67">
        <v>-24.830583709999999</v>
      </c>
      <c r="E30" s="69" t="s">
        <v>822</v>
      </c>
      <c r="F30" s="65"/>
      <c r="G30" s="63" t="s">
        <v>849</v>
      </c>
      <c r="H30" s="69" t="s">
        <v>867</v>
      </c>
      <c r="I30" s="64" t="s">
        <v>560</v>
      </c>
      <c r="J30" s="68" t="s">
        <v>48</v>
      </c>
      <c r="K30" s="104">
        <v>1000</v>
      </c>
      <c r="L30" s="4"/>
      <c r="M30" s="100" t="str">
        <f t="shared" si="2"/>
        <v/>
      </c>
      <c r="N30" s="4"/>
      <c r="O30" s="101" t="str">
        <f t="shared" si="0"/>
        <v/>
      </c>
      <c r="P30" s="4" t="s">
        <v>804</v>
      </c>
      <c r="Q30" s="101">
        <f t="shared" si="0"/>
        <v>8.7799999999999994</v>
      </c>
      <c r="R30" s="4"/>
      <c r="S30" s="4"/>
      <c r="T30" s="4"/>
      <c r="U30" s="4"/>
      <c r="V30" s="4"/>
      <c r="W30" s="128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804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296"/>
      <c r="BZ30" s="123">
        <f t="shared" si="1"/>
        <v>150</v>
      </c>
      <c r="CA30" s="104"/>
      <c r="CB30" s="107"/>
    </row>
    <row r="31" spans="1:80" ht="25.2" customHeight="1" thickBot="1" x14ac:dyDescent="0.3">
      <c r="A31" s="268"/>
      <c r="B31" s="120">
        <v>19</v>
      </c>
      <c r="C31" s="66">
        <v>-48.176088720000003</v>
      </c>
      <c r="D31" s="67">
        <v>-24.818770270000002</v>
      </c>
      <c r="E31" s="69" t="s">
        <v>823</v>
      </c>
      <c r="F31" s="65"/>
      <c r="G31" s="63" t="s">
        <v>849</v>
      </c>
      <c r="H31" s="69" t="s">
        <v>868</v>
      </c>
      <c r="I31" s="64" t="s">
        <v>560</v>
      </c>
      <c r="J31" s="68" t="s">
        <v>48</v>
      </c>
      <c r="K31" s="104">
        <v>1000</v>
      </c>
      <c r="L31" s="4"/>
      <c r="M31" s="100" t="str">
        <f t="shared" si="2"/>
        <v/>
      </c>
      <c r="N31" s="4"/>
      <c r="O31" s="101" t="str">
        <f t="shared" si="0"/>
        <v/>
      </c>
      <c r="P31" s="4" t="s">
        <v>804</v>
      </c>
      <c r="Q31" s="101">
        <f t="shared" si="0"/>
        <v>8.7799999999999994</v>
      </c>
      <c r="R31" s="4"/>
      <c r="S31" s="4"/>
      <c r="T31" s="4"/>
      <c r="U31" s="4"/>
      <c r="V31" s="4"/>
      <c r="W31" s="128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 t="s">
        <v>804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296"/>
      <c r="BZ31" s="123">
        <f t="shared" si="1"/>
        <v>150</v>
      </c>
      <c r="CA31" s="104"/>
      <c r="CB31" s="107"/>
    </row>
    <row r="32" spans="1:80" ht="25.2" customHeight="1" thickBot="1" x14ac:dyDescent="0.3">
      <c r="A32" s="268"/>
      <c r="B32" s="120">
        <v>20</v>
      </c>
      <c r="C32" s="66">
        <v>-48.092303649999998</v>
      </c>
      <c r="D32" s="67">
        <v>-24.818345600000001</v>
      </c>
      <c r="E32" s="69" t="s">
        <v>824</v>
      </c>
      <c r="F32" s="65"/>
      <c r="G32" s="63" t="s">
        <v>849</v>
      </c>
      <c r="H32" s="69" t="s">
        <v>869</v>
      </c>
      <c r="I32" s="64" t="s">
        <v>560</v>
      </c>
      <c r="J32" s="68" t="s">
        <v>48</v>
      </c>
      <c r="K32" s="104">
        <v>1000</v>
      </c>
      <c r="L32" s="4"/>
      <c r="M32" s="100" t="str">
        <f t="shared" si="2"/>
        <v/>
      </c>
      <c r="N32" s="4"/>
      <c r="O32" s="101" t="str">
        <f t="shared" si="0"/>
        <v/>
      </c>
      <c r="P32" s="4" t="s">
        <v>804</v>
      </c>
      <c r="Q32" s="101">
        <f t="shared" si="0"/>
        <v>8.7799999999999994</v>
      </c>
      <c r="R32" s="4"/>
      <c r="S32" s="4"/>
      <c r="T32" s="4"/>
      <c r="U32" s="4"/>
      <c r="V32" s="4"/>
      <c r="W32" s="128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804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296"/>
      <c r="BZ32" s="123">
        <f t="shared" si="1"/>
        <v>150</v>
      </c>
      <c r="CA32" s="104"/>
      <c r="CB32" s="107"/>
    </row>
    <row r="33" spans="1:80" ht="25.2" customHeight="1" thickBot="1" x14ac:dyDescent="0.3">
      <c r="A33" s="268"/>
      <c r="B33" s="120">
        <v>21</v>
      </c>
      <c r="C33" s="66">
        <v>-48.091980579999998</v>
      </c>
      <c r="D33" s="67">
        <v>-24.81143616</v>
      </c>
      <c r="E33" s="69" t="s">
        <v>825</v>
      </c>
      <c r="F33" s="65"/>
      <c r="G33" s="63" t="s">
        <v>849</v>
      </c>
      <c r="H33" s="69" t="s">
        <v>870</v>
      </c>
      <c r="I33" s="64" t="s">
        <v>560</v>
      </c>
      <c r="J33" s="68" t="s">
        <v>48</v>
      </c>
      <c r="K33" s="104">
        <v>1000</v>
      </c>
      <c r="L33" s="4"/>
      <c r="M33" s="100" t="str">
        <f t="shared" si="2"/>
        <v/>
      </c>
      <c r="N33" s="4"/>
      <c r="O33" s="101" t="str">
        <f t="shared" si="0"/>
        <v/>
      </c>
      <c r="P33" s="4" t="s">
        <v>804</v>
      </c>
      <c r="Q33" s="101">
        <f t="shared" si="0"/>
        <v>8.7799999999999994</v>
      </c>
      <c r="R33" s="4"/>
      <c r="S33" s="4"/>
      <c r="T33" s="4"/>
      <c r="U33" s="4"/>
      <c r="V33" s="4"/>
      <c r="W33" s="128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 t="s">
        <v>804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296"/>
      <c r="BZ33" s="123">
        <f t="shared" si="1"/>
        <v>150</v>
      </c>
      <c r="CA33" s="104"/>
      <c r="CB33" s="107"/>
    </row>
    <row r="34" spans="1:80" ht="25.2" customHeight="1" thickBot="1" x14ac:dyDescent="0.3">
      <c r="A34" s="268"/>
      <c r="B34" s="120">
        <v>22</v>
      </c>
      <c r="C34" s="66">
        <v>-48.17414445</v>
      </c>
      <c r="D34" s="67">
        <v>-24.802056870000001</v>
      </c>
      <c r="E34" s="69" t="s">
        <v>826</v>
      </c>
      <c r="F34" s="65"/>
      <c r="G34" s="63" t="s">
        <v>849</v>
      </c>
      <c r="H34" s="69" t="s">
        <v>871</v>
      </c>
      <c r="I34" s="64" t="s">
        <v>560</v>
      </c>
      <c r="J34" s="68" t="s">
        <v>48</v>
      </c>
      <c r="K34" s="104">
        <v>1000</v>
      </c>
      <c r="L34" s="4"/>
      <c r="M34" s="100" t="str">
        <f t="shared" si="2"/>
        <v/>
      </c>
      <c r="N34" s="4"/>
      <c r="O34" s="101" t="str">
        <f t="shared" si="0"/>
        <v/>
      </c>
      <c r="P34" s="4" t="s">
        <v>804</v>
      </c>
      <c r="Q34" s="101">
        <f t="shared" si="0"/>
        <v>8.7799999999999994</v>
      </c>
      <c r="R34" s="4"/>
      <c r="S34" s="4"/>
      <c r="T34" s="4"/>
      <c r="U34" s="4"/>
      <c r="V34" s="4"/>
      <c r="W34" s="128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 t="s">
        <v>804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296"/>
      <c r="BZ34" s="123">
        <f t="shared" si="1"/>
        <v>150</v>
      </c>
      <c r="CA34" s="104"/>
      <c r="CB34" s="107"/>
    </row>
    <row r="35" spans="1:80" ht="25.2" customHeight="1" thickBot="1" x14ac:dyDescent="0.3">
      <c r="A35" s="268"/>
      <c r="B35" s="120">
        <v>23</v>
      </c>
      <c r="C35" s="66">
        <v>-48.036611780000001</v>
      </c>
      <c r="D35" s="67">
        <v>-24.79836547</v>
      </c>
      <c r="E35" s="69" t="s">
        <v>827</v>
      </c>
      <c r="F35" s="65"/>
      <c r="G35" s="63" t="s">
        <v>849</v>
      </c>
      <c r="H35" s="69" t="s">
        <v>872</v>
      </c>
      <c r="I35" s="64" t="s">
        <v>560</v>
      </c>
      <c r="J35" s="68" t="s">
        <v>48</v>
      </c>
      <c r="K35" s="104">
        <v>1000</v>
      </c>
      <c r="L35" s="4"/>
      <c r="M35" s="100" t="str">
        <f t="shared" si="2"/>
        <v/>
      </c>
      <c r="N35" s="4"/>
      <c r="O35" s="101" t="str">
        <f t="shared" si="0"/>
        <v/>
      </c>
      <c r="P35" s="4" t="s">
        <v>804</v>
      </c>
      <c r="Q35" s="101">
        <f t="shared" si="0"/>
        <v>8.7799999999999994</v>
      </c>
      <c r="R35" s="4"/>
      <c r="S35" s="4"/>
      <c r="T35" s="4"/>
      <c r="U35" s="4"/>
      <c r="V35" s="4"/>
      <c r="W35" s="128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 t="s">
        <v>804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296"/>
      <c r="BZ35" s="123">
        <f t="shared" si="1"/>
        <v>150</v>
      </c>
      <c r="CA35" s="104"/>
      <c r="CB35" s="107"/>
    </row>
    <row r="36" spans="1:80" ht="25.2" customHeight="1" thickBot="1" x14ac:dyDescent="0.3">
      <c r="A36" s="268"/>
      <c r="B36" s="120">
        <v>24</v>
      </c>
      <c r="C36" s="66">
        <v>-48.08657333</v>
      </c>
      <c r="D36" s="67">
        <v>-24.79746141</v>
      </c>
      <c r="E36" s="69" t="s">
        <v>828</v>
      </c>
      <c r="F36" s="65"/>
      <c r="G36" s="63" t="s">
        <v>849</v>
      </c>
      <c r="H36" s="69" t="s">
        <v>873</v>
      </c>
      <c r="I36" s="64" t="s">
        <v>560</v>
      </c>
      <c r="J36" s="68" t="s">
        <v>48</v>
      </c>
      <c r="K36" s="104">
        <v>1000</v>
      </c>
      <c r="L36" s="4"/>
      <c r="M36" s="100" t="str">
        <f t="shared" si="2"/>
        <v/>
      </c>
      <c r="N36" s="4"/>
      <c r="O36" s="101" t="str">
        <f t="shared" si="0"/>
        <v/>
      </c>
      <c r="P36" s="4" t="s">
        <v>804</v>
      </c>
      <c r="Q36" s="101">
        <f t="shared" si="0"/>
        <v>8.7799999999999994</v>
      </c>
      <c r="R36" s="4"/>
      <c r="S36" s="4"/>
      <c r="T36" s="4"/>
      <c r="U36" s="4"/>
      <c r="V36" s="4"/>
      <c r="W36" s="128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 t="s">
        <v>804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296"/>
      <c r="BZ36" s="123">
        <f t="shared" si="1"/>
        <v>150</v>
      </c>
      <c r="CA36" s="104"/>
      <c r="CB36" s="107"/>
    </row>
    <row r="37" spans="1:80" ht="25.2" customHeight="1" thickBot="1" x14ac:dyDescent="0.3">
      <c r="A37" s="268"/>
      <c r="B37" s="120">
        <v>25</v>
      </c>
      <c r="C37" s="66">
        <v>-48.173151130000001</v>
      </c>
      <c r="D37" s="67">
        <v>-24.79311319</v>
      </c>
      <c r="E37" s="69" t="s">
        <v>829</v>
      </c>
      <c r="F37" s="65"/>
      <c r="G37" s="63" t="s">
        <v>849</v>
      </c>
      <c r="H37" s="69" t="s">
        <v>874</v>
      </c>
      <c r="I37" s="64" t="s">
        <v>560</v>
      </c>
      <c r="J37" s="68" t="s">
        <v>48</v>
      </c>
      <c r="K37" s="104">
        <v>1000</v>
      </c>
      <c r="L37" s="4"/>
      <c r="M37" s="100" t="str">
        <f t="shared" si="2"/>
        <v/>
      </c>
      <c r="N37" s="4"/>
      <c r="O37" s="101" t="str">
        <f t="shared" si="0"/>
        <v/>
      </c>
      <c r="P37" s="4" t="s">
        <v>804</v>
      </c>
      <c r="Q37" s="101">
        <f t="shared" si="0"/>
        <v>8.7799999999999994</v>
      </c>
      <c r="R37" s="4"/>
      <c r="S37" s="4"/>
      <c r="T37" s="4"/>
      <c r="U37" s="4"/>
      <c r="V37" s="4"/>
      <c r="W37" s="128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 t="s">
        <v>804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296"/>
      <c r="BZ37" s="123">
        <f t="shared" si="1"/>
        <v>150</v>
      </c>
      <c r="CA37" s="104"/>
      <c r="CB37" s="107"/>
    </row>
    <row r="38" spans="1:80" ht="25.2" customHeight="1" thickBot="1" x14ac:dyDescent="0.3">
      <c r="A38" s="268"/>
      <c r="B38" s="120">
        <v>26</v>
      </c>
      <c r="C38" s="66">
        <v>-48.055777130000003</v>
      </c>
      <c r="D38" s="67">
        <v>-24.78757293</v>
      </c>
      <c r="E38" s="69" t="s">
        <v>830</v>
      </c>
      <c r="F38" s="65"/>
      <c r="G38" s="63" t="s">
        <v>849</v>
      </c>
      <c r="H38" s="69" t="s">
        <v>875</v>
      </c>
      <c r="I38" s="64" t="s">
        <v>560</v>
      </c>
      <c r="J38" s="68" t="s">
        <v>48</v>
      </c>
      <c r="K38" s="104">
        <v>1000</v>
      </c>
      <c r="L38" s="4"/>
      <c r="M38" s="100" t="str">
        <f t="shared" si="2"/>
        <v/>
      </c>
      <c r="N38" s="4"/>
      <c r="O38" s="101" t="str">
        <f t="shared" si="0"/>
        <v/>
      </c>
      <c r="P38" s="4" t="s">
        <v>804</v>
      </c>
      <c r="Q38" s="101">
        <f t="shared" si="0"/>
        <v>8.7799999999999994</v>
      </c>
      <c r="R38" s="4"/>
      <c r="S38" s="4"/>
      <c r="T38" s="4"/>
      <c r="U38" s="4"/>
      <c r="V38" s="4"/>
      <c r="W38" s="128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 t="s">
        <v>804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296"/>
      <c r="BZ38" s="123">
        <f t="shared" si="1"/>
        <v>150</v>
      </c>
      <c r="CA38" s="104"/>
      <c r="CB38" s="107"/>
    </row>
    <row r="39" spans="1:80" ht="25.2" customHeight="1" thickBot="1" x14ac:dyDescent="0.3">
      <c r="A39" s="268"/>
      <c r="B39" s="120">
        <v>27</v>
      </c>
      <c r="C39" s="66">
        <v>-48.055777130000003</v>
      </c>
      <c r="D39" s="67">
        <v>-24.78757293</v>
      </c>
      <c r="E39" s="69" t="s">
        <v>831</v>
      </c>
      <c r="F39" s="65"/>
      <c r="G39" s="63" t="s">
        <v>849</v>
      </c>
      <c r="H39" s="69" t="s">
        <v>876</v>
      </c>
      <c r="I39" s="64" t="s">
        <v>560</v>
      </c>
      <c r="J39" s="68" t="s">
        <v>48</v>
      </c>
      <c r="K39" s="104">
        <v>1000</v>
      </c>
      <c r="L39" s="4"/>
      <c r="M39" s="100" t="str">
        <f t="shared" si="2"/>
        <v/>
      </c>
      <c r="N39" s="4"/>
      <c r="O39" s="101" t="str">
        <f t="shared" si="0"/>
        <v/>
      </c>
      <c r="P39" s="4" t="s">
        <v>804</v>
      </c>
      <c r="Q39" s="101">
        <f t="shared" si="0"/>
        <v>8.7799999999999994</v>
      </c>
      <c r="R39" s="4"/>
      <c r="S39" s="4"/>
      <c r="T39" s="4"/>
      <c r="U39" s="4"/>
      <c r="V39" s="4"/>
      <c r="W39" s="128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 t="s">
        <v>804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296"/>
      <c r="BZ39" s="123">
        <f t="shared" si="1"/>
        <v>150</v>
      </c>
      <c r="CA39" s="104"/>
      <c r="CB39" s="107"/>
    </row>
    <row r="40" spans="1:80" ht="25.2" customHeight="1" thickBot="1" x14ac:dyDescent="0.3">
      <c r="A40" s="268"/>
      <c r="B40" s="120">
        <v>28</v>
      </c>
      <c r="C40" s="66">
        <v>-48.073121980000003</v>
      </c>
      <c r="D40" s="67">
        <v>-24.755238640000002</v>
      </c>
      <c r="E40" s="69" t="s">
        <v>832</v>
      </c>
      <c r="F40" s="65"/>
      <c r="G40" s="63" t="s">
        <v>849</v>
      </c>
      <c r="H40" s="69" t="s">
        <v>877</v>
      </c>
      <c r="I40" s="64" t="s">
        <v>560</v>
      </c>
      <c r="J40" s="68" t="s">
        <v>48</v>
      </c>
      <c r="K40" s="104">
        <v>1000</v>
      </c>
      <c r="L40" s="4"/>
      <c r="M40" s="100" t="str">
        <f t="shared" si="2"/>
        <v/>
      </c>
      <c r="N40" s="4"/>
      <c r="O40" s="101" t="str">
        <f t="shared" si="0"/>
        <v/>
      </c>
      <c r="P40" s="4" t="s">
        <v>804</v>
      </c>
      <c r="Q40" s="101">
        <f t="shared" si="0"/>
        <v>8.7799999999999994</v>
      </c>
      <c r="R40" s="4"/>
      <c r="S40" s="4"/>
      <c r="T40" s="4"/>
      <c r="U40" s="4"/>
      <c r="V40" s="4"/>
      <c r="W40" s="128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 t="s">
        <v>804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296"/>
      <c r="BZ40" s="123">
        <f t="shared" si="1"/>
        <v>150</v>
      </c>
      <c r="CA40" s="104"/>
      <c r="CB40" s="107"/>
    </row>
    <row r="41" spans="1:80" ht="25.2" customHeight="1" thickBot="1" x14ac:dyDescent="0.3">
      <c r="A41" s="268"/>
      <c r="B41" s="120">
        <v>29</v>
      </c>
      <c r="C41" s="66">
        <v>-48.05527798</v>
      </c>
      <c r="D41" s="67">
        <v>-24.73668812</v>
      </c>
      <c r="E41" s="69" t="s">
        <v>833</v>
      </c>
      <c r="F41" s="65"/>
      <c r="G41" s="63" t="s">
        <v>849</v>
      </c>
      <c r="H41" s="69" t="s">
        <v>878</v>
      </c>
      <c r="I41" s="64" t="s">
        <v>560</v>
      </c>
      <c r="J41" s="68" t="s">
        <v>48</v>
      </c>
      <c r="K41" s="104">
        <v>1000</v>
      </c>
      <c r="L41" s="4"/>
      <c r="M41" s="100" t="str">
        <f t="shared" si="2"/>
        <v/>
      </c>
      <c r="N41" s="4"/>
      <c r="O41" s="101" t="str">
        <f t="shared" si="0"/>
        <v/>
      </c>
      <c r="P41" s="4" t="s">
        <v>804</v>
      </c>
      <c r="Q41" s="101">
        <f t="shared" si="0"/>
        <v>8.7799999999999994</v>
      </c>
      <c r="R41" s="4"/>
      <c r="S41" s="4"/>
      <c r="T41" s="4"/>
      <c r="U41" s="4"/>
      <c r="V41" s="4"/>
      <c r="W41" s="128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 t="s">
        <v>804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296"/>
      <c r="BZ41" s="123">
        <f t="shared" si="1"/>
        <v>150</v>
      </c>
      <c r="CA41" s="104"/>
      <c r="CB41" s="107"/>
    </row>
    <row r="42" spans="1:80" ht="25.2" customHeight="1" thickBot="1" x14ac:dyDescent="0.3">
      <c r="A42" s="268"/>
      <c r="B42" s="120">
        <v>30</v>
      </c>
      <c r="C42" s="66">
        <v>-48.217528450000003</v>
      </c>
      <c r="D42" s="67">
        <v>-24.734564760000001</v>
      </c>
      <c r="E42" s="69" t="s">
        <v>834</v>
      </c>
      <c r="F42" s="65"/>
      <c r="G42" s="63" t="s">
        <v>849</v>
      </c>
      <c r="H42" s="69" t="s">
        <v>879</v>
      </c>
      <c r="I42" s="64" t="s">
        <v>560</v>
      </c>
      <c r="J42" s="68" t="s">
        <v>48</v>
      </c>
      <c r="K42" s="104">
        <v>1000</v>
      </c>
      <c r="L42" s="4"/>
      <c r="M42" s="100" t="str">
        <f t="shared" si="2"/>
        <v/>
      </c>
      <c r="N42" s="4"/>
      <c r="O42" s="101" t="str">
        <f t="shared" si="0"/>
        <v/>
      </c>
      <c r="P42" s="4" t="s">
        <v>804</v>
      </c>
      <c r="Q42" s="101">
        <f t="shared" si="0"/>
        <v>8.7799999999999994</v>
      </c>
      <c r="R42" s="4"/>
      <c r="S42" s="4"/>
      <c r="T42" s="4"/>
      <c r="U42" s="4"/>
      <c r="V42" s="4"/>
      <c r="W42" s="128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 t="s">
        <v>804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296"/>
      <c r="BZ42" s="123">
        <f t="shared" si="1"/>
        <v>150</v>
      </c>
      <c r="CA42" s="104"/>
      <c r="CB42" s="107"/>
    </row>
    <row r="43" spans="1:80" ht="25.2" customHeight="1" thickBot="1" x14ac:dyDescent="0.3">
      <c r="A43" s="268"/>
      <c r="B43" s="120">
        <v>31</v>
      </c>
      <c r="C43" s="66">
        <v>-48.186726620000002</v>
      </c>
      <c r="D43" s="67">
        <v>-24.72898103</v>
      </c>
      <c r="E43" s="69" t="s">
        <v>835</v>
      </c>
      <c r="F43" s="65"/>
      <c r="G43" s="63" t="s">
        <v>849</v>
      </c>
      <c r="H43" s="69" t="s">
        <v>880</v>
      </c>
      <c r="I43" s="64" t="s">
        <v>560</v>
      </c>
      <c r="J43" s="68" t="s">
        <v>48</v>
      </c>
      <c r="K43" s="104">
        <v>1000</v>
      </c>
      <c r="L43" s="4"/>
      <c r="M43" s="100" t="str">
        <f t="shared" si="2"/>
        <v/>
      </c>
      <c r="N43" s="4"/>
      <c r="O43" s="101" t="str">
        <f t="shared" si="0"/>
        <v/>
      </c>
      <c r="P43" s="4" t="s">
        <v>804</v>
      </c>
      <c r="Q43" s="101">
        <f t="shared" si="0"/>
        <v>8.7799999999999994</v>
      </c>
      <c r="R43" s="4"/>
      <c r="S43" s="4"/>
      <c r="T43" s="4"/>
      <c r="U43" s="4"/>
      <c r="V43" s="4"/>
      <c r="W43" s="128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 t="s">
        <v>804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296"/>
      <c r="BZ43" s="123">
        <f t="shared" si="1"/>
        <v>150</v>
      </c>
      <c r="CA43" s="104"/>
      <c r="CB43" s="107"/>
    </row>
    <row r="44" spans="1:80" ht="25.2" customHeight="1" thickBot="1" x14ac:dyDescent="0.3">
      <c r="A44" s="268"/>
      <c r="B44" s="120">
        <v>32</v>
      </c>
      <c r="C44" s="66">
        <v>-48.213585190000003</v>
      </c>
      <c r="D44" s="67">
        <v>-24.72440216</v>
      </c>
      <c r="E44" s="69" t="s">
        <v>836</v>
      </c>
      <c r="F44" s="65"/>
      <c r="G44" s="63" t="s">
        <v>849</v>
      </c>
      <c r="H44" s="69" t="s">
        <v>881</v>
      </c>
      <c r="I44" s="64" t="s">
        <v>560</v>
      </c>
      <c r="J44" s="68" t="s">
        <v>48</v>
      </c>
      <c r="K44" s="104">
        <v>1000</v>
      </c>
      <c r="L44" s="4"/>
      <c r="M44" s="100" t="str">
        <f t="shared" si="2"/>
        <v/>
      </c>
      <c r="N44" s="4"/>
      <c r="O44" s="101" t="str">
        <f t="shared" si="0"/>
        <v/>
      </c>
      <c r="P44" s="4" t="s">
        <v>804</v>
      </c>
      <c r="Q44" s="101">
        <f t="shared" si="0"/>
        <v>8.7799999999999994</v>
      </c>
      <c r="R44" s="4"/>
      <c r="S44" s="4"/>
      <c r="T44" s="4"/>
      <c r="U44" s="4"/>
      <c r="V44" s="4"/>
      <c r="W44" s="128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 t="s">
        <v>804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296"/>
      <c r="BZ44" s="123">
        <f t="shared" si="1"/>
        <v>150</v>
      </c>
      <c r="CA44" s="104"/>
      <c r="CB44" s="107"/>
    </row>
    <row r="45" spans="1:80" ht="25.2" customHeight="1" thickBot="1" x14ac:dyDescent="0.3">
      <c r="A45" s="268"/>
      <c r="B45" s="120">
        <v>33</v>
      </c>
      <c r="C45" s="66">
        <v>-48.167743620000003</v>
      </c>
      <c r="D45" s="67">
        <v>-24.718633619999999</v>
      </c>
      <c r="E45" s="69" t="s">
        <v>837</v>
      </c>
      <c r="F45" s="65"/>
      <c r="G45" s="63" t="s">
        <v>849</v>
      </c>
      <c r="H45" s="69" t="s">
        <v>882</v>
      </c>
      <c r="I45" s="64" t="s">
        <v>560</v>
      </c>
      <c r="J45" s="68" t="s">
        <v>48</v>
      </c>
      <c r="K45" s="104">
        <v>1000</v>
      </c>
      <c r="L45" s="4"/>
      <c r="M45" s="100" t="str">
        <f t="shared" si="2"/>
        <v/>
      </c>
      <c r="N45" s="4"/>
      <c r="O45" s="101" t="str">
        <f t="shared" si="0"/>
        <v/>
      </c>
      <c r="P45" s="4" t="s">
        <v>804</v>
      </c>
      <c r="Q45" s="101">
        <f t="shared" si="0"/>
        <v>8.7799999999999994</v>
      </c>
      <c r="R45" s="4"/>
      <c r="S45" s="4"/>
      <c r="T45" s="4"/>
      <c r="U45" s="4"/>
      <c r="V45" s="4"/>
      <c r="W45" s="128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 t="s">
        <v>804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296"/>
      <c r="BZ45" s="123">
        <f t="shared" si="1"/>
        <v>150</v>
      </c>
      <c r="CA45" s="104"/>
      <c r="CB45" s="107"/>
    </row>
    <row r="46" spans="1:80" ht="25.2" customHeight="1" thickBot="1" x14ac:dyDescent="0.3">
      <c r="A46" s="268"/>
      <c r="B46" s="120">
        <v>34</v>
      </c>
      <c r="C46" s="66">
        <v>-48.079504659999998</v>
      </c>
      <c r="D46" s="67">
        <v>-24.718086230000001</v>
      </c>
      <c r="E46" s="69" t="s">
        <v>838</v>
      </c>
      <c r="F46" s="65"/>
      <c r="G46" s="63" t="s">
        <v>849</v>
      </c>
      <c r="H46" s="69" t="s">
        <v>883</v>
      </c>
      <c r="I46" s="64" t="s">
        <v>560</v>
      </c>
      <c r="J46" s="68" t="s">
        <v>48</v>
      </c>
      <c r="K46" s="104">
        <v>1000</v>
      </c>
      <c r="L46" s="4"/>
      <c r="M46" s="100" t="str">
        <f t="shared" si="2"/>
        <v/>
      </c>
      <c r="N46" s="4"/>
      <c r="O46" s="101" t="str">
        <f t="shared" si="0"/>
        <v/>
      </c>
      <c r="P46" s="4" t="s">
        <v>804</v>
      </c>
      <c r="Q46" s="101">
        <f t="shared" si="0"/>
        <v>8.7799999999999994</v>
      </c>
      <c r="R46" s="4"/>
      <c r="S46" s="4"/>
      <c r="T46" s="4"/>
      <c r="U46" s="4"/>
      <c r="V46" s="4"/>
      <c r="W46" s="128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 t="s">
        <v>804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296"/>
      <c r="BZ46" s="123">
        <f t="shared" si="1"/>
        <v>150</v>
      </c>
      <c r="CA46" s="104"/>
      <c r="CB46" s="107"/>
    </row>
    <row r="47" spans="1:80" ht="25.2" customHeight="1" thickBot="1" x14ac:dyDescent="0.3">
      <c r="A47" s="268"/>
      <c r="B47" s="120">
        <v>35</v>
      </c>
      <c r="C47" s="66">
        <v>-48.038174009999999</v>
      </c>
      <c r="D47" s="67">
        <v>-24.718394079999999</v>
      </c>
      <c r="E47" s="69" t="s">
        <v>839</v>
      </c>
      <c r="F47" s="65"/>
      <c r="G47" s="63" t="s">
        <v>849</v>
      </c>
      <c r="H47" s="69" t="s">
        <v>884</v>
      </c>
      <c r="I47" s="64" t="s">
        <v>560</v>
      </c>
      <c r="J47" s="68" t="s">
        <v>48</v>
      </c>
      <c r="K47" s="104">
        <v>1000</v>
      </c>
      <c r="L47" s="4"/>
      <c r="M47" s="100" t="str">
        <f t="shared" si="2"/>
        <v/>
      </c>
      <c r="N47" s="4"/>
      <c r="O47" s="101" t="str">
        <f t="shared" si="0"/>
        <v/>
      </c>
      <c r="P47" s="4" t="s">
        <v>804</v>
      </c>
      <c r="Q47" s="101">
        <f t="shared" si="0"/>
        <v>8.7799999999999994</v>
      </c>
      <c r="R47" s="4"/>
      <c r="S47" s="4"/>
      <c r="T47" s="4"/>
      <c r="U47" s="4"/>
      <c r="V47" s="4"/>
      <c r="W47" s="128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 t="s">
        <v>804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296"/>
      <c r="BZ47" s="123">
        <f t="shared" si="1"/>
        <v>150</v>
      </c>
      <c r="CA47" s="104"/>
      <c r="CB47" s="107"/>
    </row>
    <row r="48" spans="1:80" ht="25.2" customHeight="1" thickBot="1" x14ac:dyDescent="0.3">
      <c r="A48" s="268"/>
      <c r="B48" s="120">
        <v>36</v>
      </c>
      <c r="C48" s="66">
        <v>-48.078570800000001</v>
      </c>
      <c r="D48" s="67">
        <v>-24.717887560000001</v>
      </c>
      <c r="E48" s="69" t="s">
        <v>840</v>
      </c>
      <c r="F48" s="65"/>
      <c r="G48" s="63" t="s">
        <v>849</v>
      </c>
      <c r="H48" s="69" t="s">
        <v>885</v>
      </c>
      <c r="I48" s="64" t="s">
        <v>560</v>
      </c>
      <c r="J48" s="68" t="s">
        <v>48</v>
      </c>
      <c r="K48" s="104">
        <v>1000</v>
      </c>
      <c r="L48" s="4"/>
      <c r="M48" s="100" t="str">
        <f t="shared" si="2"/>
        <v/>
      </c>
      <c r="N48" s="4"/>
      <c r="O48" s="101" t="str">
        <f t="shared" si="0"/>
        <v/>
      </c>
      <c r="P48" s="4" t="s">
        <v>804</v>
      </c>
      <c r="Q48" s="101">
        <f t="shared" si="0"/>
        <v>8.7799999999999994</v>
      </c>
      <c r="R48" s="4"/>
      <c r="S48" s="4"/>
      <c r="T48" s="4"/>
      <c r="U48" s="4"/>
      <c r="V48" s="4"/>
      <c r="W48" s="128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 t="s">
        <v>804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296"/>
      <c r="BZ48" s="123">
        <f t="shared" si="1"/>
        <v>150</v>
      </c>
      <c r="CA48" s="104"/>
      <c r="CB48" s="107"/>
    </row>
    <row r="49" spans="1:80" ht="25.2" customHeight="1" thickBot="1" x14ac:dyDescent="0.3">
      <c r="A49" s="268"/>
      <c r="B49" s="120">
        <v>37</v>
      </c>
      <c r="C49" s="66">
        <v>-48.167676880000002</v>
      </c>
      <c r="D49" s="67">
        <v>-24.7180909</v>
      </c>
      <c r="E49" s="69" t="s">
        <v>841</v>
      </c>
      <c r="F49" s="65"/>
      <c r="G49" s="63" t="s">
        <v>849</v>
      </c>
      <c r="H49" s="69" t="s">
        <v>886</v>
      </c>
      <c r="I49" s="64" t="s">
        <v>560</v>
      </c>
      <c r="J49" s="68" t="s">
        <v>48</v>
      </c>
      <c r="K49" s="104">
        <v>1000</v>
      </c>
      <c r="L49" s="4"/>
      <c r="M49" s="100" t="str">
        <f t="shared" si="2"/>
        <v/>
      </c>
      <c r="N49" s="4"/>
      <c r="O49" s="101" t="str">
        <f t="shared" si="0"/>
        <v/>
      </c>
      <c r="P49" s="4" t="s">
        <v>804</v>
      </c>
      <c r="Q49" s="101">
        <f t="shared" si="0"/>
        <v>8.7799999999999994</v>
      </c>
      <c r="R49" s="4"/>
      <c r="S49" s="4"/>
      <c r="T49" s="4"/>
      <c r="U49" s="4"/>
      <c r="V49" s="4"/>
      <c r="W49" s="128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 t="s">
        <v>804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296"/>
      <c r="BZ49" s="123">
        <f t="shared" si="1"/>
        <v>150</v>
      </c>
      <c r="CA49" s="104"/>
      <c r="CB49" s="107"/>
    </row>
    <row r="50" spans="1:80" ht="25.2" customHeight="1" thickBot="1" x14ac:dyDescent="0.3">
      <c r="A50" s="268"/>
      <c r="B50" s="120">
        <v>38</v>
      </c>
      <c r="C50" s="66">
        <v>-48.033684409999999</v>
      </c>
      <c r="D50" s="67">
        <v>-24.706926630000002</v>
      </c>
      <c r="E50" s="69" t="s">
        <v>842</v>
      </c>
      <c r="F50" s="65"/>
      <c r="G50" s="63" t="s">
        <v>849</v>
      </c>
      <c r="H50" s="69" t="s">
        <v>887</v>
      </c>
      <c r="I50" s="64" t="s">
        <v>560</v>
      </c>
      <c r="J50" s="68" t="s">
        <v>48</v>
      </c>
      <c r="K50" s="104">
        <v>1000</v>
      </c>
      <c r="L50" s="4"/>
      <c r="M50" s="100" t="str">
        <f t="shared" si="2"/>
        <v/>
      </c>
      <c r="N50" s="4"/>
      <c r="O50" s="101" t="str">
        <f t="shared" si="0"/>
        <v/>
      </c>
      <c r="P50" s="4" t="s">
        <v>804</v>
      </c>
      <c r="Q50" s="101">
        <f t="shared" si="0"/>
        <v>8.7799999999999994</v>
      </c>
      <c r="R50" s="4"/>
      <c r="S50" s="4"/>
      <c r="T50" s="4"/>
      <c r="U50" s="4"/>
      <c r="V50" s="4"/>
      <c r="W50" s="128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 t="s">
        <v>804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296"/>
      <c r="BZ50" s="123">
        <f t="shared" si="1"/>
        <v>150</v>
      </c>
      <c r="CA50" s="104"/>
      <c r="CB50" s="107"/>
    </row>
    <row r="51" spans="1:80" ht="25.2" customHeight="1" thickBot="1" x14ac:dyDescent="0.3">
      <c r="A51" s="268"/>
      <c r="B51" s="120">
        <v>39</v>
      </c>
      <c r="C51" s="66">
        <v>-48.070270790000002</v>
      </c>
      <c r="D51" s="67">
        <v>-24.706572229999999</v>
      </c>
      <c r="E51" s="69" t="s">
        <v>843</v>
      </c>
      <c r="F51" s="65"/>
      <c r="G51" s="63" t="s">
        <v>849</v>
      </c>
      <c r="H51" s="69" t="s">
        <v>888</v>
      </c>
      <c r="I51" s="64" t="s">
        <v>560</v>
      </c>
      <c r="J51" s="68" t="s">
        <v>48</v>
      </c>
      <c r="K51" s="104">
        <v>1000</v>
      </c>
      <c r="L51" s="4"/>
      <c r="M51" s="100" t="str">
        <f t="shared" si="2"/>
        <v/>
      </c>
      <c r="N51" s="4"/>
      <c r="O51" s="101" t="str">
        <f t="shared" si="0"/>
        <v/>
      </c>
      <c r="P51" s="4" t="s">
        <v>804</v>
      </c>
      <c r="Q51" s="101">
        <f t="shared" si="0"/>
        <v>8.7799999999999994</v>
      </c>
      <c r="R51" s="4"/>
      <c r="S51" s="4"/>
      <c r="T51" s="4"/>
      <c r="U51" s="4"/>
      <c r="V51" s="4"/>
      <c r="W51" s="128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 t="s">
        <v>804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296"/>
      <c r="BZ51" s="123">
        <f t="shared" si="1"/>
        <v>150</v>
      </c>
      <c r="CA51" s="104"/>
      <c r="CB51" s="107"/>
    </row>
    <row r="52" spans="1:80" ht="25.2" customHeight="1" thickBot="1" x14ac:dyDescent="0.3">
      <c r="A52" s="268"/>
      <c r="B52" s="120">
        <v>40</v>
      </c>
      <c r="C52" s="66">
        <v>-48.035460180000001</v>
      </c>
      <c r="D52" s="67">
        <v>-24.703686210000001</v>
      </c>
      <c r="E52" s="69" t="s">
        <v>844</v>
      </c>
      <c r="F52" s="65"/>
      <c r="G52" s="63" t="s">
        <v>849</v>
      </c>
      <c r="H52" s="69" t="s">
        <v>889</v>
      </c>
      <c r="I52" s="64" t="s">
        <v>560</v>
      </c>
      <c r="J52" s="68" t="s">
        <v>48</v>
      </c>
      <c r="K52" s="104">
        <v>1000</v>
      </c>
      <c r="L52" s="4"/>
      <c r="M52" s="100" t="str">
        <f t="shared" si="2"/>
        <v/>
      </c>
      <c r="N52" s="4"/>
      <c r="O52" s="101" t="str">
        <f t="shared" si="0"/>
        <v/>
      </c>
      <c r="P52" s="4" t="s">
        <v>804</v>
      </c>
      <c r="Q52" s="101">
        <f t="shared" si="0"/>
        <v>8.7799999999999994</v>
      </c>
      <c r="R52" s="4"/>
      <c r="S52" s="4"/>
      <c r="T52" s="4"/>
      <c r="U52" s="4"/>
      <c r="V52" s="4"/>
      <c r="W52" s="128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 t="s">
        <v>804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296"/>
      <c r="BZ52" s="123">
        <f t="shared" si="1"/>
        <v>150</v>
      </c>
      <c r="CA52" s="104"/>
      <c r="CB52" s="107"/>
    </row>
    <row r="53" spans="1:80" ht="25.2" customHeight="1" thickBot="1" x14ac:dyDescent="0.3">
      <c r="A53" s="268"/>
      <c r="B53" s="120">
        <v>41</v>
      </c>
      <c r="C53" s="66">
        <v>-48.002680150000003</v>
      </c>
      <c r="D53" s="67">
        <v>-24.70271868</v>
      </c>
      <c r="E53" s="69" t="s">
        <v>845</v>
      </c>
      <c r="F53" s="65"/>
      <c r="G53" s="63" t="s">
        <v>849</v>
      </c>
      <c r="H53" s="69" t="s">
        <v>890</v>
      </c>
      <c r="I53" s="64" t="s">
        <v>560</v>
      </c>
      <c r="J53" s="68" t="s">
        <v>48</v>
      </c>
      <c r="K53" s="104">
        <v>1000</v>
      </c>
      <c r="L53" s="4"/>
      <c r="M53" s="100" t="str">
        <f t="shared" si="2"/>
        <v/>
      </c>
      <c r="N53" s="4"/>
      <c r="O53" s="101" t="str">
        <f t="shared" si="0"/>
        <v/>
      </c>
      <c r="P53" s="4" t="s">
        <v>804</v>
      </c>
      <c r="Q53" s="101">
        <f t="shared" si="0"/>
        <v>8.7799999999999994</v>
      </c>
      <c r="R53" s="4"/>
      <c r="S53" s="4"/>
      <c r="T53" s="4"/>
      <c r="U53" s="4"/>
      <c r="V53" s="4"/>
      <c r="W53" s="128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 t="s">
        <v>804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296"/>
      <c r="BZ53" s="123">
        <f t="shared" si="1"/>
        <v>150</v>
      </c>
      <c r="CA53" s="104"/>
      <c r="CB53" s="107"/>
    </row>
    <row r="54" spans="1:80" ht="25.2" customHeight="1" thickBot="1" x14ac:dyDescent="0.3">
      <c r="A54" s="268"/>
      <c r="B54" s="120">
        <v>42</v>
      </c>
      <c r="C54" s="66">
        <v>-48.198224869999997</v>
      </c>
      <c r="D54" s="67">
        <v>-24.693811920000002</v>
      </c>
      <c r="E54" s="69" t="s">
        <v>846</v>
      </c>
      <c r="F54" s="65"/>
      <c r="G54" s="63" t="s">
        <v>849</v>
      </c>
      <c r="H54" s="69" t="s">
        <v>891</v>
      </c>
      <c r="I54" s="64" t="s">
        <v>560</v>
      </c>
      <c r="J54" s="68" t="s">
        <v>48</v>
      </c>
      <c r="K54" s="104">
        <v>1000</v>
      </c>
      <c r="L54" s="4"/>
      <c r="M54" s="100" t="str">
        <f t="shared" si="2"/>
        <v/>
      </c>
      <c r="N54" s="4"/>
      <c r="O54" s="101" t="str">
        <f t="shared" si="0"/>
        <v/>
      </c>
      <c r="P54" s="4" t="s">
        <v>804</v>
      </c>
      <c r="Q54" s="101">
        <f t="shared" si="0"/>
        <v>8.7799999999999994</v>
      </c>
      <c r="R54" s="4"/>
      <c r="S54" s="4"/>
      <c r="T54" s="4"/>
      <c r="U54" s="4"/>
      <c r="V54" s="4"/>
      <c r="W54" s="128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 t="s">
        <v>804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296"/>
      <c r="BZ54" s="123">
        <f t="shared" si="1"/>
        <v>150</v>
      </c>
      <c r="CA54" s="104"/>
      <c r="CB54" s="107"/>
    </row>
    <row r="55" spans="1:80" ht="25.2" customHeight="1" thickBot="1" x14ac:dyDescent="0.3">
      <c r="A55" s="268"/>
      <c r="B55" s="120">
        <v>43</v>
      </c>
      <c r="C55" s="66">
        <v>-48.133753689999999</v>
      </c>
      <c r="D55" s="67">
        <v>-24.687783970000002</v>
      </c>
      <c r="E55" s="69" t="s">
        <v>847</v>
      </c>
      <c r="F55" s="65"/>
      <c r="G55" s="63" t="s">
        <v>849</v>
      </c>
      <c r="H55" s="69" t="s">
        <v>892</v>
      </c>
      <c r="I55" s="64" t="s">
        <v>560</v>
      </c>
      <c r="J55" s="68" t="s">
        <v>48</v>
      </c>
      <c r="K55" s="104">
        <v>1000</v>
      </c>
      <c r="L55" s="4"/>
      <c r="M55" s="100" t="str">
        <f t="shared" si="2"/>
        <v/>
      </c>
      <c r="N55" s="4"/>
      <c r="O55" s="101" t="str">
        <f t="shared" si="0"/>
        <v/>
      </c>
      <c r="P55" s="4" t="s">
        <v>804</v>
      </c>
      <c r="Q55" s="101">
        <f t="shared" si="0"/>
        <v>8.7799999999999994</v>
      </c>
      <c r="R55" s="4"/>
      <c r="S55" s="4"/>
      <c r="T55" s="4"/>
      <c r="U55" s="4"/>
      <c r="V55" s="4"/>
      <c r="W55" s="128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 t="s">
        <v>804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296"/>
      <c r="BZ55" s="123">
        <f t="shared" si="1"/>
        <v>150</v>
      </c>
      <c r="CA55" s="104"/>
      <c r="CB55" s="107"/>
    </row>
    <row r="56" spans="1:80" ht="25.2" customHeight="1" thickBot="1" x14ac:dyDescent="0.3">
      <c r="A56" s="268"/>
      <c r="B56" s="120">
        <v>44</v>
      </c>
      <c r="C56" s="66">
        <v>-48.113541619999999</v>
      </c>
      <c r="D56" s="67">
        <v>-24.663952160000001</v>
      </c>
      <c r="E56" s="69" t="s">
        <v>848</v>
      </c>
      <c r="F56" s="65"/>
      <c r="G56" s="63" t="s">
        <v>849</v>
      </c>
      <c r="H56" s="69" t="s">
        <v>893</v>
      </c>
      <c r="I56" s="64" t="s">
        <v>560</v>
      </c>
      <c r="J56" s="68" t="s">
        <v>48</v>
      </c>
      <c r="K56" s="104">
        <v>1000</v>
      </c>
      <c r="L56" s="4"/>
      <c r="M56" s="100" t="str">
        <f t="shared" si="2"/>
        <v/>
      </c>
      <c r="N56" s="51"/>
      <c r="O56" s="102" t="str">
        <f t="shared" ref="O56:Q56" si="3">IF(COUNTA(N56)=1,$K56/1000*O$10,"")</f>
        <v/>
      </c>
      <c r="P56" s="51" t="s">
        <v>804</v>
      </c>
      <c r="Q56" s="102">
        <f t="shared" si="3"/>
        <v>8.7799999999999994</v>
      </c>
      <c r="R56" s="51"/>
      <c r="S56" s="51"/>
      <c r="T56" s="51"/>
      <c r="U56" s="51"/>
      <c r="V56" s="51"/>
      <c r="W56" s="128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 t="s">
        <v>804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320"/>
      <c r="BZ56" s="124">
        <f t="shared" si="1"/>
        <v>150</v>
      </c>
      <c r="CA56" s="105"/>
      <c r="CB56" s="107"/>
    </row>
    <row r="57" spans="1:80" ht="15" customHeight="1" x14ac:dyDescent="0.25">
      <c r="A57" s="268"/>
      <c r="B57" s="314"/>
      <c r="C57" s="315"/>
      <c r="D57" s="315"/>
      <c r="E57" s="315"/>
      <c r="F57" s="31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79"/>
      <c r="CB57" s="107"/>
    </row>
    <row r="58" spans="1:80" ht="35.1" customHeight="1" x14ac:dyDescent="0.3">
      <c r="A58" s="268"/>
      <c r="B58" s="316"/>
      <c r="C58" s="267"/>
      <c r="D58" s="267"/>
      <c r="E58" s="267"/>
      <c r="F58" s="267"/>
      <c r="G58" s="17"/>
      <c r="H58" s="17"/>
      <c r="I58" s="17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114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78"/>
      <c r="CB58" s="107"/>
    </row>
    <row r="59" spans="1:80" ht="35.1" customHeight="1" x14ac:dyDescent="0.25">
      <c r="A59" s="268"/>
      <c r="B59" s="316"/>
      <c r="C59" s="267"/>
      <c r="D59" s="267"/>
      <c r="E59" s="267"/>
      <c r="F59" s="267"/>
      <c r="G59" s="17"/>
      <c r="H59" s="17"/>
      <c r="I59" s="17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3"/>
      <c r="AU59" s="273"/>
      <c r="AV59" s="273"/>
      <c r="AW59" s="273"/>
      <c r="AX59" s="273"/>
      <c r="AY59" s="273"/>
      <c r="AZ59" s="273"/>
      <c r="BA59" s="110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34"/>
      <c r="CB59" s="107"/>
    </row>
    <row r="60" spans="1:80" ht="35.1" customHeight="1" x14ac:dyDescent="0.25">
      <c r="A60" s="268"/>
      <c r="B60" s="316"/>
      <c r="C60" s="267"/>
      <c r="D60" s="267"/>
      <c r="E60" s="267"/>
      <c r="F60" s="267"/>
      <c r="G60" s="17"/>
      <c r="H60" s="17"/>
      <c r="I60" s="17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/>
      <c r="AD60" s="275"/>
      <c r="AE60" s="275"/>
      <c r="AF60" s="275"/>
      <c r="AG60" s="275"/>
      <c r="AH60" s="275"/>
      <c r="AI60" s="275"/>
      <c r="AJ60" s="275"/>
      <c r="AK60" s="275"/>
      <c r="AL60" s="275"/>
      <c r="AM60" s="275"/>
      <c r="AN60" s="275"/>
      <c r="AO60" s="275"/>
      <c r="AP60" s="275"/>
      <c r="AQ60" s="275"/>
      <c r="AR60" s="275"/>
      <c r="AS60" s="275"/>
      <c r="AT60" s="275"/>
      <c r="AU60" s="275"/>
      <c r="AV60" s="275"/>
      <c r="AW60" s="275"/>
      <c r="AX60" s="275"/>
      <c r="AY60" s="275"/>
      <c r="AZ60" s="275"/>
      <c r="BA60" s="111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35"/>
      <c r="CB60" s="107"/>
    </row>
    <row r="61" spans="1:80" ht="35.1" customHeight="1" x14ac:dyDescent="0.3">
      <c r="A61" s="268"/>
      <c r="B61" s="316"/>
      <c r="C61" s="267"/>
      <c r="D61" s="267"/>
      <c r="E61" s="267"/>
      <c r="F61" s="267"/>
      <c r="G61" s="17"/>
      <c r="H61" s="17"/>
      <c r="I61" s="17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75"/>
      <c r="AN61" s="275"/>
      <c r="AO61" s="275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112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36"/>
      <c r="CB61" s="107"/>
    </row>
    <row r="62" spans="1:80" ht="35.1" customHeight="1" thickBot="1" x14ac:dyDescent="0.3">
      <c r="A62" s="268"/>
      <c r="B62" s="317"/>
      <c r="C62" s="318"/>
      <c r="D62" s="318"/>
      <c r="E62" s="318"/>
      <c r="F62" s="318"/>
      <c r="G62" s="37"/>
      <c r="H62" s="37"/>
      <c r="I62" s="37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S62" s="276"/>
      <c r="AT62" s="276"/>
      <c r="AU62" s="276"/>
      <c r="AV62" s="276"/>
      <c r="AW62" s="276"/>
      <c r="AX62" s="276"/>
      <c r="AY62" s="276"/>
      <c r="AZ62" s="276"/>
      <c r="BA62" s="113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8"/>
      <c r="CB62" s="107"/>
    </row>
    <row r="63" spans="1:80" ht="25.2" customHeight="1" thickBot="1" x14ac:dyDescent="0.3">
      <c r="A63" s="268"/>
      <c r="B63" s="120">
        <v>45</v>
      </c>
      <c r="C63" s="66">
        <v>-48.054325900000002</v>
      </c>
      <c r="D63" s="67">
        <v>-24.664660779999998</v>
      </c>
      <c r="E63" s="69" t="s">
        <v>900</v>
      </c>
      <c r="F63" s="65"/>
      <c r="G63" s="63" t="s">
        <v>849</v>
      </c>
      <c r="H63" s="69" t="s">
        <v>894</v>
      </c>
      <c r="I63" s="64" t="s">
        <v>560</v>
      </c>
      <c r="J63" s="68" t="s">
        <v>48</v>
      </c>
      <c r="K63" s="104">
        <v>1000</v>
      </c>
      <c r="L63" s="4"/>
      <c r="M63" s="100" t="str">
        <f t="shared" ref="M63:M106" si="4">IF(COUNTA(L63)=1,$K63/1000*M$10,"")</f>
        <v/>
      </c>
      <c r="N63" s="133"/>
      <c r="O63" s="100" t="str">
        <f t="shared" ref="O63:O83" si="5">IF(COUNTA(N63)=1,$K63/1000*O$10,"")</f>
        <v/>
      </c>
      <c r="P63" s="133" t="s">
        <v>804</v>
      </c>
      <c r="Q63" s="100">
        <f t="shared" ref="Q63:Q83" si="6">IF(COUNTA(P63)=1,$K63/1000*Q$10,"")</f>
        <v>8.7799999999999994</v>
      </c>
      <c r="R63" s="133"/>
      <c r="S63" s="133"/>
      <c r="T63" s="133"/>
      <c r="U63" s="133"/>
      <c r="V63" s="133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 t="s">
        <v>804</v>
      </c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296"/>
      <c r="BZ63" s="125">
        <f t="shared" ref="BZ63:BZ106" si="7">SUMIF($L63:$BX63, "x", $L$12:$BX$12)</f>
        <v>150</v>
      </c>
      <c r="CA63" s="103"/>
      <c r="CB63" s="107"/>
    </row>
    <row r="64" spans="1:80" ht="25.2" customHeight="1" thickBot="1" x14ac:dyDescent="0.3">
      <c r="A64" s="268"/>
      <c r="B64" s="120">
        <v>46</v>
      </c>
      <c r="C64" s="66">
        <v>-48.064138939999999</v>
      </c>
      <c r="D64" s="67">
        <v>-24.656749720000001</v>
      </c>
      <c r="E64" s="69" t="s">
        <v>901</v>
      </c>
      <c r="F64" s="65"/>
      <c r="G64" s="63" t="s">
        <v>849</v>
      </c>
      <c r="H64" s="69" t="s">
        <v>895</v>
      </c>
      <c r="I64" s="64" t="s">
        <v>560</v>
      </c>
      <c r="J64" s="68" t="s">
        <v>48</v>
      </c>
      <c r="K64" s="104">
        <v>1000</v>
      </c>
      <c r="L64" s="4"/>
      <c r="M64" s="100" t="str">
        <f t="shared" si="4"/>
        <v/>
      </c>
      <c r="N64" s="4"/>
      <c r="O64" s="101" t="str">
        <f t="shared" si="5"/>
        <v/>
      </c>
      <c r="P64" s="4" t="s">
        <v>804</v>
      </c>
      <c r="Q64" s="101">
        <f t="shared" si="6"/>
        <v>8.7799999999999994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 t="s">
        <v>804</v>
      </c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296"/>
      <c r="BZ64" s="123">
        <f t="shared" si="7"/>
        <v>150</v>
      </c>
      <c r="CA64" s="104"/>
      <c r="CB64" s="107"/>
    </row>
    <row r="65" spans="1:80" ht="25.2" customHeight="1" thickBot="1" x14ac:dyDescent="0.3">
      <c r="A65" s="268"/>
      <c r="B65" s="120">
        <v>47</v>
      </c>
      <c r="C65" s="66">
        <v>-48.290521380000001</v>
      </c>
      <c r="D65" s="67">
        <v>-24.602063860000001</v>
      </c>
      <c r="E65" s="69" t="s">
        <v>902</v>
      </c>
      <c r="F65" s="65"/>
      <c r="G65" s="63" t="s">
        <v>849</v>
      </c>
      <c r="H65" s="69" t="s">
        <v>896</v>
      </c>
      <c r="I65" s="64" t="s">
        <v>560</v>
      </c>
      <c r="J65" s="68" t="s">
        <v>48</v>
      </c>
      <c r="K65" s="104">
        <v>1000</v>
      </c>
      <c r="L65" s="4"/>
      <c r="M65" s="100" t="str">
        <f t="shared" si="4"/>
        <v/>
      </c>
      <c r="N65" s="4"/>
      <c r="O65" s="101" t="str">
        <f t="shared" si="5"/>
        <v/>
      </c>
      <c r="P65" s="4" t="s">
        <v>804</v>
      </c>
      <c r="Q65" s="101">
        <f t="shared" si="6"/>
        <v>8.7799999999999994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 t="s">
        <v>804</v>
      </c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296"/>
      <c r="BZ65" s="123">
        <f t="shared" si="7"/>
        <v>150</v>
      </c>
      <c r="CA65" s="104"/>
      <c r="CB65" s="107"/>
    </row>
    <row r="66" spans="1:80" ht="25.2" customHeight="1" thickBot="1" x14ac:dyDescent="0.3">
      <c r="A66" s="268"/>
      <c r="B66" s="120">
        <v>48</v>
      </c>
      <c r="C66" s="66">
        <v>-48.099579050000003</v>
      </c>
      <c r="D66" s="67">
        <v>-24.537717529999998</v>
      </c>
      <c r="E66" s="69" t="s">
        <v>903</v>
      </c>
      <c r="F66" s="65"/>
      <c r="G66" s="63" t="s">
        <v>849</v>
      </c>
      <c r="H66" s="69" t="s">
        <v>897</v>
      </c>
      <c r="I66" s="64" t="s">
        <v>560</v>
      </c>
      <c r="J66" s="68" t="s">
        <v>48</v>
      </c>
      <c r="K66" s="104">
        <v>1000</v>
      </c>
      <c r="L66" s="4"/>
      <c r="M66" s="100" t="str">
        <f t="shared" si="4"/>
        <v/>
      </c>
      <c r="N66" s="4"/>
      <c r="O66" s="101" t="str">
        <f t="shared" si="5"/>
        <v/>
      </c>
      <c r="P66" s="4" t="s">
        <v>804</v>
      </c>
      <c r="Q66" s="101">
        <f t="shared" si="6"/>
        <v>8.7799999999999994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 t="s">
        <v>804</v>
      </c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296"/>
      <c r="BZ66" s="123">
        <f t="shared" si="7"/>
        <v>150</v>
      </c>
      <c r="CA66" s="104"/>
      <c r="CB66" s="107"/>
    </row>
    <row r="67" spans="1:80" ht="25.2" customHeight="1" thickBot="1" x14ac:dyDescent="0.3">
      <c r="A67" s="268"/>
      <c r="B67" s="120">
        <v>49</v>
      </c>
      <c r="C67" s="66">
        <v>-48.457424349999997</v>
      </c>
      <c r="D67" s="67">
        <v>-24.529387020000001</v>
      </c>
      <c r="E67" s="69" t="s">
        <v>904</v>
      </c>
      <c r="F67" s="65"/>
      <c r="G67" s="63" t="s">
        <v>849</v>
      </c>
      <c r="H67" s="69" t="s">
        <v>898</v>
      </c>
      <c r="I67" s="64" t="s">
        <v>560</v>
      </c>
      <c r="J67" s="68" t="s">
        <v>48</v>
      </c>
      <c r="K67" s="104">
        <v>1000</v>
      </c>
      <c r="L67" s="4"/>
      <c r="M67" s="100" t="str">
        <f t="shared" si="4"/>
        <v/>
      </c>
      <c r="N67" s="4"/>
      <c r="O67" s="101" t="str">
        <f t="shared" si="5"/>
        <v/>
      </c>
      <c r="P67" s="4" t="s">
        <v>804</v>
      </c>
      <c r="Q67" s="101">
        <f t="shared" si="6"/>
        <v>8.7799999999999994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 t="s">
        <v>804</v>
      </c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296"/>
      <c r="BZ67" s="123">
        <f t="shared" si="7"/>
        <v>150</v>
      </c>
      <c r="CA67" s="104"/>
      <c r="CB67" s="107"/>
    </row>
    <row r="68" spans="1:80" ht="25.2" customHeight="1" thickBot="1" x14ac:dyDescent="0.3">
      <c r="A68" s="268"/>
      <c r="B68" s="120">
        <v>50</v>
      </c>
      <c r="C68" s="66">
        <v>-48.46510052</v>
      </c>
      <c r="D68" s="67">
        <v>-24.514145280000001</v>
      </c>
      <c r="E68" s="69" t="s">
        <v>905</v>
      </c>
      <c r="F68" s="65"/>
      <c r="G68" s="63" t="s">
        <v>849</v>
      </c>
      <c r="H68" s="69" t="s">
        <v>899</v>
      </c>
      <c r="I68" s="64" t="s">
        <v>560</v>
      </c>
      <c r="J68" s="68" t="s">
        <v>48</v>
      </c>
      <c r="K68" s="104">
        <v>1000</v>
      </c>
      <c r="L68" s="4"/>
      <c r="M68" s="100" t="str">
        <f t="shared" si="4"/>
        <v/>
      </c>
      <c r="N68" s="4"/>
      <c r="O68" s="101" t="str">
        <f t="shared" si="5"/>
        <v/>
      </c>
      <c r="P68" s="4" t="s">
        <v>804</v>
      </c>
      <c r="Q68" s="101">
        <f t="shared" si="6"/>
        <v>8.7799999999999994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 t="s">
        <v>804</v>
      </c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296"/>
      <c r="BZ68" s="123">
        <f t="shared" si="7"/>
        <v>150</v>
      </c>
      <c r="CA68" s="104"/>
      <c r="CB68" s="107"/>
    </row>
    <row r="69" spans="1:80" ht="25.2" customHeight="1" thickBot="1" x14ac:dyDescent="0.3">
      <c r="A69" s="268"/>
      <c r="B69" s="120">
        <v>51</v>
      </c>
      <c r="C69" s="66"/>
      <c r="D69" s="67"/>
      <c r="E69" s="69"/>
      <c r="F69" s="65"/>
      <c r="G69" s="63"/>
      <c r="H69" s="69"/>
      <c r="I69" s="64"/>
      <c r="J69" s="68"/>
      <c r="K69" s="104"/>
      <c r="L69" s="4"/>
      <c r="M69" s="100" t="str">
        <f t="shared" si="4"/>
        <v/>
      </c>
      <c r="N69" s="4"/>
      <c r="O69" s="101" t="str">
        <f t="shared" si="5"/>
        <v/>
      </c>
      <c r="P69" s="4"/>
      <c r="Q69" s="101" t="str">
        <f t="shared" si="6"/>
        <v/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296"/>
      <c r="BZ69" s="123">
        <f t="shared" si="7"/>
        <v>0</v>
      </c>
      <c r="CA69" s="104"/>
      <c r="CB69" s="107"/>
    </row>
    <row r="70" spans="1:80" ht="25.2" customHeight="1" thickBot="1" x14ac:dyDescent="0.3">
      <c r="A70" s="268"/>
      <c r="B70" s="120">
        <v>52</v>
      </c>
      <c r="C70" s="66"/>
      <c r="D70" s="67"/>
      <c r="E70" s="69"/>
      <c r="F70" s="65"/>
      <c r="G70" s="63"/>
      <c r="H70" s="69"/>
      <c r="I70" s="64"/>
      <c r="J70" s="68"/>
      <c r="K70" s="104"/>
      <c r="L70" s="4"/>
      <c r="M70" s="100" t="str">
        <f t="shared" si="4"/>
        <v/>
      </c>
      <c r="N70" s="4"/>
      <c r="O70" s="101" t="str">
        <f t="shared" si="5"/>
        <v/>
      </c>
      <c r="P70" s="4"/>
      <c r="Q70" s="101" t="str">
        <f t="shared" si="6"/>
        <v/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296"/>
      <c r="BZ70" s="123">
        <f t="shared" si="7"/>
        <v>0</v>
      </c>
      <c r="CA70" s="104"/>
      <c r="CB70" s="107"/>
    </row>
    <row r="71" spans="1:80" ht="25.2" customHeight="1" thickBot="1" x14ac:dyDescent="0.3">
      <c r="A71" s="268"/>
      <c r="B71" s="120">
        <v>53</v>
      </c>
      <c r="C71" s="66"/>
      <c r="D71" s="67"/>
      <c r="E71" s="69"/>
      <c r="F71" s="65"/>
      <c r="G71" s="63"/>
      <c r="H71" s="69"/>
      <c r="I71" s="64"/>
      <c r="J71" s="68"/>
      <c r="K71" s="104"/>
      <c r="L71" s="4"/>
      <c r="M71" s="100" t="str">
        <f t="shared" si="4"/>
        <v/>
      </c>
      <c r="N71" s="4"/>
      <c r="O71" s="101" t="str">
        <f t="shared" si="5"/>
        <v/>
      </c>
      <c r="P71" s="4"/>
      <c r="Q71" s="101" t="str">
        <f t="shared" si="6"/>
        <v/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296"/>
      <c r="BZ71" s="123">
        <f t="shared" si="7"/>
        <v>0</v>
      </c>
      <c r="CA71" s="104"/>
      <c r="CB71" s="107"/>
    </row>
    <row r="72" spans="1:80" ht="25.2" customHeight="1" thickBot="1" x14ac:dyDescent="0.3">
      <c r="A72" s="268"/>
      <c r="B72" s="120">
        <v>54</v>
      </c>
      <c r="C72" s="66"/>
      <c r="D72" s="67"/>
      <c r="E72" s="69"/>
      <c r="F72" s="65"/>
      <c r="G72" s="63"/>
      <c r="H72" s="69"/>
      <c r="I72" s="64"/>
      <c r="J72" s="68"/>
      <c r="K72" s="104"/>
      <c r="L72" s="4"/>
      <c r="M72" s="100" t="str">
        <f t="shared" si="4"/>
        <v/>
      </c>
      <c r="N72" s="4"/>
      <c r="O72" s="101" t="str">
        <f t="shared" si="5"/>
        <v/>
      </c>
      <c r="P72" s="4"/>
      <c r="Q72" s="101" t="str">
        <f t="shared" si="6"/>
        <v/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296"/>
      <c r="BZ72" s="123">
        <f t="shared" si="7"/>
        <v>0</v>
      </c>
      <c r="CA72" s="104"/>
      <c r="CB72" s="107"/>
    </row>
    <row r="73" spans="1:80" ht="25.2" customHeight="1" thickBot="1" x14ac:dyDescent="0.3">
      <c r="A73" s="268"/>
      <c r="B73" s="120">
        <v>55</v>
      </c>
      <c r="C73" s="66"/>
      <c r="D73" s="67"/>
      <c r="E73" s="69"/>
      <c r="F73" s="65"/>
      <c r="G73" s="63"/>
      <c r="H73" s="69"/>
      <c r="I73" s="64"/>
      <c r="J73" s="68"/>
      <c r="K73" s="104"/>
      <c r="L73" s="4"/>
      <c r="M73" s="100" t="str">
        <f t="shared" si="4"/>
        <v/>
      </c>
      <c r="N73" s="4"/>
      <c r="O73" s="101" t="str">
        <f t="shared" si="5"/>
        <v/>
      </c>
      <c r="P73" s="4"/>
      <c r="Q73" s="101" t="str">
        <f t="shared" si="6"/>
        <v/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296"/>
      <c r="BZ73" s="123">
        <f t="shared" si="7"/>
        <v>0</v>
      </c>
      <c r="CA73" s="104"/>
      <c r="CB73" s="107"/>
    </row>
    <row r="74" spans="1:80" ht="25.2" customHeight="1" thickBot="1" x14ac:dyDescent="0.3">
      <c r="A74" s="268"/>
      <c r="B74" s="120">
        <v>56</v>
      </c>
      <c r="C74" s="66"/>
      <c r="D74" s="67"/>
      <c r="E74" s="69"/>
      <c r="F74" s="65"/>
      <c r="G74" s="63"/>
      <c r="H74" s="69"/>
      <c r="I74" s="64"/>
      <c r="J74" s="68"/>
      <c r="K74" s="104"/>
      <c r="L74" s="4"/>
      <c r="M74" s="100" t="str">
        <f t="shared" si="4"/>
        <v/>
      </c>
      <c r="N74" s="4"/>
      <c r="O74" s="101" t="str">
        <f t="shared" si="5"/>
        <v/>
      </c>
      <c r="P74" s="4"/>
      <c r="Q74" s="101" t="str">
        <f t="shared" si="6"/>
        <v/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296"/>
      <c r="BZ74" s="123">
        <f t="shared" si="7"/>
        <v>0</v>
      </c>
      <c r="CA74" s="104"/>
      <c r="CB74" s="107"/>
    </row>
    <row r="75" spans="1:80" ht="25.2" customHeight="1" thickBot="1" x14ac:dyDescent="0.3">
      <c r="A75" s="268"/>
      <c r="B75" s="120">
        <v>57</v>
      </c>
      <c r="C75" s="66"/>
      <c r="D75" s="67"/>
      <c r="E75" s="69"/>
      <c r="F75" s="65"/>
      <c r="G75" s="63"/>
      <c r="H75" s="69"/>
      <c r="I75" s="64"/>
      <c r="J75" s="68"/>
      <c r="K75" s="104"/>
      <c r="L75" s="4"/>
      <c r="M75" s="100" t="str">
        <f t="shared" si="4"/>
        <v/>
      </c>
      <c r="N75" s="4"/>
      <c r="O75" s="101" t="str">
        <f t="shared" si="5"/>
        <v/>
      </c>
      <c r="P75" s="4"/>
      <c r="Q75" s="101" t="str">
        <f t="shared" si="6"/>
        <v/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296"/>
      <c r="BZ75" s="123">
        <f t="shared" si="7"/>
        <v>0</v>
      </c>
      <c r="CA75" s="104"/>
      <c r="CB75" s="107"/>
    </row>
    <row r="76" spans="1:80" ht="25.2" customHeight="1" thickBot="1" x14ac:dyDescent="0.3">
      <c r="A76" s="268"/>
      <c r="B76" s="120">
        <v>58</v>
      </c>
      <c r="C76" s="66"/>
      <c r="D76" s="67"/>
      <c r="E76" s="69"/>
      <c r="F76" s="65"/>
      <c r="G76" s="63"/>
      <c r="H76" s="69"/>
      <c r="I76" s="64"/>
      <c r="J76" s="68"/>
      <c r="K76" s="104"/>
      <c r="L76" s="4"/>
      <c r="M76" s="100" t="str">
        <f t="shared" si="4"/>
        <v/>
      </c>
      <c r="N76" s="4"/>
      <c r="O76" s="101" t="str">
        <f t="shared" si="5"/>
        <v/>
      </c>
      <c r="P76" s="4"/>
      <c r="Q76" s="101" t="str">
        <f t="shared" si="6"/>
        <v/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296"/>
      <c r="BZ76" s="123">
        <f t="shared" si="7"/>
        <v>0</v>
      </c>
      <c r="CA76" s="104"/>
      <c r="CB76" s="107"/>
    </row>
    <row r="77" spans="1:80" ht="25.2" customHeight="1" thickBot="1" x14ac:dyDescent="0.3">
      <c r="A77" s="268"/>
      <c r="B77" s="120">
        <v>59</v>
      </c>
      <c r="C77" s="66"/>
      <c r="D77" s="67"/>
      <c r="E77" s="69"/>
      <c r="F77" s="65"/>
      <c r="G77" s="63"/>
      <c r="H77" s="69"/>
      <c r="I77" s="64"/>
      <c r="J77" s="68"/>
      <c r="K77" s="104"/>
      <c r="L77" s="4"/>
      <c r="M77" s="100" t="str">
        <f t="shared" si="4"/>
        <v/>
      </c>
      <c r="N77" s="4"/>
      <c r="O77" s="101" t="str">
        <f t="shared" si="5"/>
        <v/>
      </c>
      <c r="P77" s="4"/>
      <c r="Q77" s="101" t="str">
        <f t="shared" si="6"/>
        <v/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296"/>
      <c r="BZ77" s="123">
        <f t="shared" si="7"/>
        <v>0</v>
      </c>
      <c r="CA77" s="104"/>
      <c r="CB77" s="107"/>
    </row>
    <row r="78" spans="1:80" ht="25.2" customHeight="1" thickBot="1" x14ac:dyDescent="0.3">
      <c r="A78" s="268"/>
      <c r="B78" s="120">
        <v>60</v>
      </c>
      <c r="C78" s="66"/>
      <c r="D78" s="67"/>
      <c r="E78" s="69"/>
      <c r="F78" s="65"/>
      <c r="G78" s="63"/>
      <c r="H78" s="69"/>
      <c r="I78" s="64"/>
      <c r="J78" s="68"/>
      <c r="K78" s="104"/>
      <c r="L78" s="4"/>
      <c r="M78" s="100" t="str">
        <f t="shared" si="4"/>
        <v/>
      </c>
      <c r="N78" s="4"/>
      <c r="O78" s="101" t="str">
        <f t="shared" si="5"/>
        <v/>
      </c>
      <c r="P78" s="4"/>
      <c r="Q78" s="101" t="str">
        <f t="shared" si="6"/>
        <v/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296"/>
      <c r="BZ78" s="123">
        <f t="shared" si="7"/>
        <v>0</v>
      </c>
      <c r="CA78" s="104"/>
      <c r="CB78" s="107"/>
    </row>
    <row r="79" spans="1:80" ht="25.2" customHeight="1" thickBot="1" x14ac:dyDescent="0.3">
      <c r="A79" s="268"/>
      <c r="B79" s="120">
        <v>61</v>
      </c>
      <c r="C79" s="66"/>
      <c r="D79" s="67"/>
      <c r="E79" s="69"/>
      <c r="F79" s="65"/>
      <c r="G79" s="63"/>
      <c r="H79" s="69"/>
      <c r="I79" s="64"/>
      <c r="J79" s="68"/>
      <c r="K79" s="104"/>
      <c r="L79" s="4"/>
      <c r="M79" s="100" t="str">
        <f t="shared" si="4"/>
        <v/>
      </c>
      <c r="N79" s="4"/>
      <c r="O79" s="101" t="str">
        <f t="shared" si="5"/>
        <v/>
      </c>
      <c r="P79" s="4"/>
      <c r="Q79" s="101" t="str">
        <f t="shared" si="6"/>
        <v/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296"/>
      <c r="BZ79" s="123">
        <f t="shared" si="7"/>
        <v>0</v>
      </c>
      <c r="CA79" s="104"/>
      <c r="CB79" s="107"/>
    </row>
    <row r="80" spans="1:80" ht="25.2" customHeight="1" thickBot="1" x14ac:dyDescent="0.3">
      <c r="A80" s="268"/>
      <c r="B80" s="120">
        <v>62</v>
      </c>
      <c r="C80" s="66"/>
      <c r="D80" s="67"/>
      <c r="E80" s="69"/>
      <c r="F80" s="65"/>
      <c r="G80" s="63"/>
      <c r="H80" s="69"/>
      <c r="I80" s="64"/>
      <c r="J80" s="68"/>
      <c r="K80" s="104"/>
      <c r="L80" s="4"/>
      <c r="M80" s="100" t="str">
        <f t="shared" si="4"/>
        <v/>
      </c>
      <c r="N80" s="4"/>
      <c r="O80" s="101" t="str">
        <f t="shared" si="5"/>
        <v/>
      </c>
      <c r="P80" s="4"/>
      <c r="Q80" s="101" t="str">
        <f t="shared" si="6"/>
        <v/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296"/>
      <c r="BZ80" s="123">
        <f t="shared" si="7"/>
        <v>0</v>
      </c>
      <c r="CA80" s="104"/>
      <c r="CB80" s="107"/>
    </row>
    <row r="81" spans="1:80" ht="25.2" customHeight="1" thickBot="1" x14ac:dyDescent="0.3">
      <c r="A81" s="268"/>
      <c r="B81" s="120">
        <v>63</v>
      </c>
      <c r="C81" s="66"/>
      <c r="D81" s="67"/>
      <c r="E81" s="69"/>
      <c r="F81" s="65"/>
      <c r="G81" s="63"/>
      <c r="H81" s="69"/>
      <c r="I81" s="64"/>
      <c r="J81" s="68"/>
      <c r="K81" s="104"/>
      <c r="L81" s="4"/>
      <c r="M81" s="100" t="str">
        <f t="shared" si="4"/>
        <v/>
      </c>
      <c r="N81" s="4"/>
      <c r="O81" s="101" t="str">
        <f t="shared" si="5"/>
        <v/>
      </c>
      <c r="P81" s="4"/>
      <c r="Q81" s="101" t="str">
        <f t="shared" si="6"/>
        <v/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296"/>
      <c r="BZ81" s="123">
        <f t="shared" si="7"/>
        <v>0</v>
      </c>
      <c r="CA81" s="104"/>
      <c r="CB81" s="107"/>
    </row>
    <row r="82" spans="1:80" ht="25.2" customHeight="1" thickBot="1" x14ac:dyDescent="0.3">
      <c r="A82" s="268"/>
      <c r="B82" s="120">
        <v>64</v>
      </c>
      <c r="C82" s="66"/>
      <c r="D82" s="67"/>
      <c r="E82" s="69"/>
      <c r="F82" s="65"/>
      <c r="G82" s="63"/>
      <c r="H82" s="69"/>
      <c r="I82" s="64"/>
      <c r="J82" s="68"/>
      <c r="K82" s="104"/>
      <c r="L82" s="4"/>
      <c r="M82" s="100" t="str">
        <f t="shared" si="4"/>
        <v/>
      </c>
      <c r="N82" s="4"/>
      <c r="O82" s="101" t="str">
        <f t="shared" si="5"/>
        <v/>
      </c>
      <c r="P82" s="4"/>
      <c r="Q82" s="101" t="str">
        <f t="shared" si="6"/>
        <v/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296"/>
      <c r="BZ82" s="123">
        <f t="shared" si="7"/>
        <v>0</v>
      </c>
      <c r="CA82" s="104"/>
      <c r="CB82" s="107"/>
    </row>
    <row r="83" spans="1:80" ht="25.2" customHeight="1" thickBot="1" x14ac:dyDescent="0.3">
      <c r="A83" s="268"/>
      <c r="B83" s="120">
        <v>65</v>
      </c>
      <c r="C83" s="66"/>
      <c r="D83" s="67"/>
      <c r="E83" s="69"/>
      <c r="F83" s="65"/>
      <c r="G83" s="63"/>
      <c r="H83" s="69"/>
      <c r="I83" s="64"/>
      <c r="J83" s="68"/>
      <c r="K83" s="104"/>
      <c r="L83" s="4"/>
      <c r="M83" s="100" t="str">
        <f t="shared" si="4"/>
        <v/>
      </c>
      <c r="N83" s="4"/>
      <c r="O83" s="101" t="str">
        <f t="shared" si="5"/>
        <v/>
      </c>
      <c r="P83" s="4"/>
      <c r="Q83" s="101" t="str">
        <f t="shared" si="6"/>
        <v/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296"/>
      <c r="BZ83" s="123">
        <f t="shared" si="7"/>
        <v>0</v>
      </c>
      <c r="CA83" s="8"/>
      <c r="CB83" s="107"/>
    </row>
    <row r="84" spans="1:80" ht="25.2" customHeight="1" thickBot="1" x14ac:dyDescent="0.3">
      <c r="A84" s="268"/>
      <c r="B84" s="120">
        <v>66</v>
      </c>
      <c r="C84" s="66"/>
      <c r="D84" s="67"/>
      <c r="E84" s="69"/>
      <c r="F84" s="65"/>
      <c r="G84" s="63"/>
      <c r="H84" s="69"/>
      <c r="I84" s="64"/>
      <c r="J84" s="68"/>
      <c r="K84" s="104"/>
      <c r="L84" s="4"/>
      <c r="M84" s="100" t="str">
        <f t="shared" si="4"/>
        <v/>
      </c>
      <c r="N84" s="4"/>
      <c r="O84" s="101" t="str">
        <f t="shared" ref="O84:O106" si="8">IF(COUNTA(N84)=1,$K84/1000*O$10,"")</f>
        <v/>
      </c>
      <c r="P84" s="4"/>
      <c r="Q84" s="101" t="str">
        <f t="shared" ref="Q84:Q106" si="9">IF(COUNTA(P84)=1,$K84/1000*Q$10,"")</f>
        <v/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296"/>
      <c r="BZ84" s="123">
        <f t="shared" si="7"/>
        <v>0</v>
      </c>
      <c r="CA84" s="8"/>
      <c r="CB84" s="107"/>
    </row>
    <row r="85" spans="1:80" ht="25.2" customHeight="1" thickBot="1" x14ac:dyDescent="0.3">
      <c r="A85" s="268"/>
      <c r="B85" s="120">
        <v>67</v>
      </c>
      <c r="C85" s="66"/>
      <c r="D85" s="67"/>
      <c r="E85" s="69"/>
      <c r="F85" s="65"/>
      <c r="G85" s="63"/>
      <c r="H85" s="69"/>
      <c r="I85" s="64"/>
      <c r="J85" s="68"/>
      <c r="K85" s="104"/>
      <c r="L85" s="4"/>
      <c r="M85" s="100" t="str">
        <f t="shared" si="4"/>
        <v/>
      </c>
      <c r="N85" s="4"/>
      <c r="O85" s="101" t="str">
        <f t="shared" si="8"/>
        <v/>
      </c>
      <c r="P85" s="4"/>
      <c r="Q85" s="101" t="str">
        <f t="shared" si="9"/>
        <v/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296"/>
      <c r="BZ85" s="123">
        <f t="shared" si="7"/>
        <v>0</v>
      </c>
      <c r="CA85" s="8"/>
      <c r="CB85" s="107"/>
    </row>
    <row r="86" spans="1:80" ht="25.2" customHeight="1" thickBot="1" x14ac:dyDescent="0.3">
      <c r="A86" s="268"/>
      <c r="B86" s="120">
        <v>68</v>
      </c>
      <c r="C86" s="66"/>
      <c r="D86" s="67"/>
      <c r="E86" s="69"/>
      <c r="F86" s="65"/>
      <c r="G86" s="63"/>
      <c r="H86" s="69"/>
      <c r="I86" s="64"/>
      <c r="J86" s="68"/>
      <c r="K86" s="104"/>
      <c r="L86" s="4"/>
      <c r="M86" s="100" t="str">
        <f t="shared" si="4"/>
        <v/>
      </c>
      <c r="N86" s="4"/>
      <c r="O86" s="101" t="str">
        <f t="shared" si="8"/>
        <v/>
      </c>
      <c r="P86" s="4"/>
      <c r="Q86" s="101" t="str">
        <f t="shared" si="9"/>
        <v/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296"/>
      <c r="BZ86" s="123">
        <f t="shared" si="7"/>
        <v>0</v>
      </c>
      <c r="CA86" s="8"/>
      <c r="CB86" s="107"/>
    </row>
    <row r="87" spans="1:80" ht="25.2" customHeight="1" thickBot="1" x14ac:dyDescent="0.3">
      <c r="A87" s="268"/>
      <c r="B87" s="120">
        <v>69</v>
      </c>
      <c r="C87" s="66"/>
      <c r="D87" s="67"/>
      <c r="E87" s="69"/>
      <c r="F87" s="65"/>
      <c r="G87" s="63"/>
      <c r="H87" s="69"/>
      <c r="I87" s="64"/>
      <c r="J87" s="68"/>
      <c r="K87" s="104"/>
      <c r="L87" s="4"/>
      <c r="M87" s="100" t="str">
        <f t="shared" si="4"/>
        <v/>
      </c>
      <c r="N87" s="4"/>
      <c r="O87" s="101" t="str">
        <f t="shared" si="8"/>
        <v/>
      </c>
      <c r="P87" s="4"/>
      <c r="Q87" s="101" t="str">
        <f t="shared" si="9"/>
        <v/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296"/>
      <c r="BZ87" s="123">
        <f t="shared" si="7"/>
        <v>0</v>
      </c>
      <c r="CA87" s="8"/>
      <c r="CB87" s="107"/>
    </row>
    <row r="88" spans="1:80" ht="25.2" customHeight="1" thickBot="1" x14ac:dyDescent="0.3">
      <c r="A88" s="268"/>
      <c r="B88" s="120">
        <v>70</v>
      </c>
      <c r="C88" s="66"/>
      <c r="D88" s="67"/>
      <c r="E88" s="69"/>
      <c r="F88" s="65"/>
      <c r="G88" s="63"/>
      <c r="H88" s="69"/>
      <c r="I88" s="64"/>
      <c r="J88" s="68"/>
      <c r="K88" s="104"/>
      <c r="L88" s="4"/>
      <c r="M88" s="100" t="str">
        <f t="shared" si="4"/>
        <v/>
      </c>
      <c r="N88" s="4"/>
      <c r="O88" s="101" t="str">
        <f t="shared" si="8"/>
        <v/>
      </c>
      <c r="P88" s="4"/>
      <c r="Q88" s="101" t="str">
        <f t="shared" si="9"/>
        <v/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296"/>
      <c r="BZ88" s="123">
        <f t="shared" si="7"/>
        <v>0</v>
      </c>
      <c r="CA88" s="8"/>
      <c r="CB88" s="117"/>
    </row>
    <row r="89" spans="1:80" ht="25.2" customHeight="1" thickBot="1" x14ac:dyDescent="0.3">
      <c r="A89" s="268"/>
      <c r="B89" s="120">
        <v>71</v>
      </c>
      <c r="C89" s="66"/>
      <c r="D89" s="67"/>
      <c r="E89" s="69"/>
      <c r="F89" s="65"/>
      <c r="G89" s="63"/>
      <c r="H89" s="69"/>
      <c r="I89" s="64"/>
      <c r="J89" s="68"/>
      <c r="K89" s="104"/>
      <c r="L89" s="4"/>
      <c r="M89" s="100" t="str">
        <f t="shared" si="4"/>
        <v/>
      </c>
      <c r="N89" s="4"/>
      <c r="O89" s="101" t="str">
        <f t="shared" si="8"/>
        <v/>
      </c>
      <c r="P89" s="4"/>
      <c r="Q89" s="101" t="str">
        <f t="shared" si="9"/>
        <v/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296"/>
      <c r="BZ89" s="123">
        <f t="shared" si="7"/>
        <v>0</v>
      </c>
      <c r="CA89" s="8"/>
      <c r="CB89" s="117"/>
    </row>
    <row r="90" spans="1:80" ht="25.2" customHeight="1" thickBot="1" x14ac:dyDescent="0.3">
      <c r="A90" s="268"/>
      <c r="B90" s="120">
        <v>72</v>
      </c>
      <c r="C90" s="66"/>
      <c r="D90" s="67"/>
      <c r="E90" s="69"/>
      <c r="F90" s="65"/>
      <c r="G90" s="63"/>
      <c r="H90" s="69"/>
      <c r="I90" s="64"/>
      <c r="J90" s="68"/>
      <c r="K90" s="104"/>
      <c r="L90" s="4"/>
      <c r="M90" s="100" t="str">
        <f t="shared" si="4"/>
        <v/>
      </c>
      <c r="N90" s="4"/>
      <c r="O90" s="101" t="str">
        <f t="shared" si="8"/>
        <v/>
      </c>
      <c r="P90" s="4"/>
      <c r="Q90" s="101" t="str">
        <f t="shared" si="9"/>
        <v/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296"/>
      <c r="BZ90" s="123">
        <f t="shared" si="7"/>
        <v>0</v>
      </c>
      <c r="CA90" s="8"/>
      <c r="CB90" s="117"/>
    </row>
    <row r="91" spans="1:80" ht="25.2" customHeight="1" thickBot="1" x14ac:dyDescent="0.3">
      <c r="A91" s="268"/>
      <c r="B91" s="120">
        <v>73</v>
      </c>
      <c r="C91" s="66"/>
      <c r="D91" s="67"/>
      <c r="E91" s="69"/>
      <c r="F91" s="65"/>
      <c r="G91" s="63"/>
      <c r="H91" s="69"/>
      <c r="I91" s="64"/>
      <c r="J91" s="68"/>
      <c r="K91" s="104"/>
      <c r="L91" s="4"/>
      <c r="M91" s="100" t="str">
        <f t="shared" si="4"/>
        <v/>
      </c>
      <c r="N91" s="4"/>
      <c r="O91" s="101" t="str">
        <f t="shared" si="8"/>
        <v/>
      </c>
      <c r="P91" s="4"/>
      <c r="Q91" s="101" t="str">
        <f t="shared" si="9"/>
        <v/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296"/>
      <c r="BZ91" s="123">
        <f t="shared" si="7"/>
        <v>0</v>
      </c>
      <c r="CA91" s="8"/>
      <c r="CB91" s="117"/>
    </row>
    <row r="92" spans="1:80" ht="25.2" customHeight="1" thickBot="1" x14ac:dyDescent="0.3">
      <c r="A92" s="268"/>
      <c r="B92" s="120">
        <v>74</v>
      </c>
      <c r="C92" s="66"/>
      <c r="D92" s="67"/>
      <c r="E92" s="69"/>
      <c r="F92" s="65"/>
      <c r="G92" s="63"/>
      <c r="H92" s="69"/>
      <c r="I92" s="64"/>
      <c r="J92" s="68"/>
      <c r="K92" s="104"/>
      <c r="L92" s="4"/>
      <c r="M92" s="100" t="str">
        <f t="shared" si="4"/>
        <v/>
      </c>
      <c r="N92" s="4"/>
      <c r="O92" s="101" t="str">
        <f t="shared" si="8"/>
        <v/>
      </c>
      <c r="P92" s="4"/>
      <c r="Q92" s="101" t="str">
        <f t="shared" si="9"/>
        <v/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296"/>
      <c r="BZ92" s="123">
        <f t="shared" si="7"/>
        <v>0</v>
      </c>
      <c r="CA92" s="8"/>
      <c r="CB92" s="117"/>
    </row>
    <row r="93" spans="1:80" ht="25.2" customHeight="1" thickBot="1" x14ac:dyDescent="0.3">
      <c r="A93" s="268"/>
      <c r="B93" s="120">
        <v>75</v>
      </c>
      <c r="C93" s="66"/>
      <c r="D93" s="67"/>
      <c r="E93" s="69"/>
      <c r="F93" s="65"/>
      <c r="G93" s="63"/>
      <c r="H93" s="69"/>
      <c r="I93" s="64"/>
      <c r="J93" s="68"/>
      <c r="K93" s="104"/>
      <c r="L93" s="4"/>
      <c r="M93" s="100" t="str">
        <f t="shared" si="4"/>
        <v/>
      </c>
      <c r="N93" s="4"/>
      <c r="O93" s="101" t="str">
        <f t="shared" si="8"/>
        <v/>
      </c>
      <c r="P93" s="4"/>
      <c r="Q93" s="101" t="str">
        <f t="shared" si="9"/>
        <v/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296"/>
      <c r="BZ93" s="123">
        <f t="shared" si="7"/>
        <v>0</v>
      </c>
      <c r="CA93" s="8"/>
      <c r="CB93" s="117"/>
    </row>
    <row r="94" spans="1:80" ht="25.2" customHeight="1" thickBot="1" x14ac:dyDescent="0.3">
      <c r="A94" s="268"/>
      <c r="B94" s="120">
        <v>76</v>
      </c>
      <c r="C94" s="66"/>
      <c r="D94" s="67"/>
      <c r="E94" s="69"/>
      <c r="F94" s="65"/>
      <c r="G94" s="63"/>
      <c r="H94" s="69"/>
      <c r="I94" s="64"/>
      <c r="J94" s="68"/>
      <c r="K94" s="104"/>
      <c r="L94" s="4"/>
      <c r="M94" s="100" t="str">
        <f t="shared" si="4"/>
        <v/>
      </c>
      <c r="N94" s="4"/>
      <c r="O94" s="101" t="str">
        <f t="shared" si="8"/>
        <v/>
      </c>
      <c r="P94" s="4"/>
      <c r="Q94" s="101" t="str">
        <f t="shared" si="9"/>
        <v/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296"/>
      <c r="BZ94" s="123">
        <f t="shared" si="7"/>
        <v>0</v>
      </c>
      <c r="CA94" s="8"/>
      <c r="CB94" s="117"/>
    </row>
    <row r="95" spans="1:80" ht="25.2" customHeight="1" thickBot="1" x14ac:dyDescent="0.3">
      <c r="A95" s="268"/>
      <c r="B95" s="120">
        <v>77</v>
      </c>
      <c r="C95" s="66"/>
      <c r="D95" s="67"/>
      <c r="E95" s="69"/>
      <c r="F95" s="65"/>
      <c r="G95" s="63"/>
      <c r="H95" s="69"/>
      <c r="I95" s="64"/>
      <c r="J95" s="68"/>
      <c r="K95" s="104"/>
      <c r="L95" s="4"/>
      <c r="M95" s="100" t="str">
        <f t="shared" si="4"/>
        <v/>
      </c>
      <c r="N95" s="4"/>
      <c r="O95" s="101" t="str">
        <f t="shared" si="8"/>
        <v/>
      </c>
      <c r="P95" s="4"/>
      <c r="Q95" s="101" t="str">
        <f t="shared" si="9"/>
        <v/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296"/>
      <c r="BZ95" s="123">
        <f t="shared" si="7"/>
        <v>0</v>
      </c>
      <c r="CA95" s="8"/>
      <c r="CB95" s="117"/>
    </row>
    <row r="96" spans="1:80" ht="25.2" customHeight="1" thickBot="1" x14ac:dyDescent="0.3">
      <c r="A96" s="268"/>
      <c r="B96" s="120">
        <v>78</v>
      </c>
      <c r="C96" s="66"/>
      <c r="D96" s="67"/>
      <c r="E96" s="69"/>
      <c r="F96" s="65"/>
      <c r="G96" s="63"/>
      <c r="H96" s="69"/>
      <c r="I96" s="64"/>
      <c r="J96" s="68"/>
      <c r="K96" s="104"/>
      <c r="L96" s="4"/>
      <c r="M96" s="100" t="str">
        <f t="shared" si="4"/>
        <v/>
      </c>
      <c r="N96" s="4"/>
      <c r="O96" s="101" t="str">
        <f t="shared" si="8"/>
        <v/>
      </c>
      <c r="P96" s="4"/>
      <c r="Q96" s="101" t="str">
        <f t="shared" si="9"/>
        <v/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296"/>
      <c r="BZ96" s="123">
        <f t="shared" si="7"/>
        <v>0</v>
      </c>
      <c r="CA96" s="8"/>
      <c r="CB96" s="117"/>
    </row>
    <row r="97" spans="1:80" ht="25.2" customHeight="1" thickBot="1" x14ac:dyDescent="0.3">
      <c r="A97" s="268"/>
      <c r="B97" s="120">
        <v>79</v>
      </c>
      <c r="C97" s="66"/>
      <c r="D97" s="67"/>
      <c r="E97" s="69"/>
      <c r="F97" s="65"/>
      <c r="G97" s="63"/>
      <c r="H97" s="69"/>
      <c r="I97" s="64"/>
      <c r="J97" s="68"/>
      <c r="K97" s="104"/>
      <c r="L97" s="4"/>
      <c r="M97" s="100" t="str">
        <f t="shared" si="4"/>
        <v/>
      </c>
      <c r="N97" s="4"/>
      <c r="O97" s="101" t="str">
        <f t="shared" si="8"/>
        <v/>
      </c>
      <c r="P97" s="4"/>
      <c r="Q97" s="101" t="str">
        <f t="shared" si="9"/>
        <v/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296"/>
      <c r="BZ97" s="123">
        <f t="shared" si="7"/>
        <v>0</v>
      </c>
      <c r="CA97" s="8"/>
      <c r="CB97" s="117"/>
    </row>
    <row r="98" spans="1:80" ht="25.2" customHeight="1" thickBot="1" x14ac:dyDescent="0.3">
      <c r="A98" s="268"/>
      <c r="B98" s="120">
        <v>80</v>
      </c>
      <c r="C98" s="66"/>
      <c r="D98" s="67"/>
      <c r="E98" s="69"/>
      <c r="F98" s="65"/>
      <c r="G98" s="63"/>
      <c r="H98" s="69"/>
      <c r="I98" s="64"/>
      <c r="J98" s="68"/>
      <c r="K98" s="104"/>
      <c r="L98" s="4"/>
      <c r="M98" s="100" t="str">
        <f t="shared" si="4"/>
        <v/>
      </c>
      <c r="N98" s="4"/>
      <c r="O98" s="101" t="str">
        <f t="shared" si="8"/>
        <v/>
      </c>
      <c r="P98" s="4"/>
      <c r="Q98" s="101" t="str">
        <f t="shared" si="9"/>
        <v/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296"/>
      <c r="BZ98" s="123">
        <f t="shared" si="7"/>
        <v>0</v>
      </c>
      <c r="CA98" s="8"/>
      <c r="CB98" s="117"/>
    </row>
    <row r="99" spans="1:80" ht="25.2" customHeight="1" thickBot="1" x14ac:dyDescent="0.3">
      <c r="A99" s="268"/>
      <c r="B99" s="120">
        <v>81</v>
      </c>
      <c r="C99" s="66"/>
      <c r="D99" s="67"/>
      <c r="E99" s="69"/>
      <c r="F99" s="65"/>
      <c r="G99" s="63"/>
      <c r="H99" s="69"/>
      <c r="I99" s="64"/>
      <c r="J99" s="68"/>
      <c r="K99" s="104"/>
      <c r="L99" s="4"/>
      <c r="M99" s="100" t="str">
        <f t="shared" si="4"/>
        <v/>
      </c>
      <c r="N99" s="4"/>
      <c r="O99" s="101" t="str">
        <f t="shared" si="8"/>
        <v/>
      </c>
      <c r="P99" s="4"/>
      <c r="Q99" s="101" t="str">
        <f t="shared" si="9"/>
        <v/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296"/>
      <c r="BZ99" s="123">
        <f t="shared" si="7"/>
        <v>0</v>
      </c>
      <c r="CA99" s="8"/>
      <c r="CB99" s="117"/>
    </row>
    <row r="100" spans="1:80" ht="25.2" customHeight="1" thickBot="1" x14ac:dyDescent="0.3">
      <c r="A100" s="268"/>
      <c r="B100" s="120">
        <v>82</v>
      </c>
      <c r="C100" s="66"/>
      <c r="D100" s="67"/>
      <c r="E100" s="69"/>
      <c r="F100" s="65"/>
      <c r="G100" s="63"/>
      <c r="H100" s="69"/>
      <c r="I100" s="64"/>
      <c r="J100" s="68"/>
      <c r="K100" s="104"/>
      <c r="L100" s="4"/>
      <c r="M100" s="100" t="str">
        <f t="shared" si="4"/>
        <v/>
      </c>
      <c r="N100" s="4"/>
      <c r="O100" s="101" t="str">
        <f t="shared" si="8"/>
        <v/>
      </c>
      <c r="P100" s="4"/>
      <c r="Q100" s="101" t="str">
        <f t="shared" si="9"/>
        <v/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296"/>
      <c r="BZ100" s="123">
        <f t="shared" si="7"/>
        <v>0</v>
      </c>
      <c r="CA100" s="8"/>
      <c r="CB100" s="117"/>
    </row>
    <row r="101" spans="1:80" ht="25.2" customHeight="1" thickBot="1" x14ac:dyDescent="0.3">
      <c r="A101" s="268"/>
      <c r="B101" s="120">
        <v>83</v>
      </c>
      <c r="C101" s="66"/>
      <c r="D101" s="67"/>
      <c r="E101" s="69"/>
      <c r="F101" s="65"/>
      <c r="G101" s="63"/>
      <c r="H101" s="69"/>
      <c r="I101" s="64"/>
      <c r="J101" s="68"/>
      <c r="K101" s="104"/>
      <c r="L101" s="4"/>
      <c r="M101" s="100" t="str">
        <f t="shared" si="4"/>
        <v/>
      </c>
      <c r="N101" s="4"/>
      <c r="O101" s="101" t="str">
        <f t="shared" si="8"/>
        <v/>
      </c>
      <c r="P101" s="4"/>
      <c r="Q101" s="101" t="str">
        <f t="shared" si="9"/>
        <v/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296"/>
      <c r="BZ101" s="123">
        <f t="shared" si="7"/>
        <v>0</v>
      </c>
      <c r="CA101" s="8"/>
      <c r="CB101" s="117"/>
    </row>
    <row r="102" spans="1:80" ht="25.2" customHeight="1" thickBot="1" x14ac:dyDescent="0.3">
      <c r="A102" s="268"/>
      <c r="B102" s="120">
        <v>84</v>
      </c>
      <c r="C102" s="66"/>
      <c r="D102" s="67"/>
      <c r="E102" s="69"/>
      <c r="F102" s="65"/>
      <c r="G102" s="63"/>
      <c r="H102" s="69"/>
      <c r="I102" s="64"/>
      <c r="J102" s="68"/>
      <c r="K102" s="104"/>
      <c r="L102" s="4"/>
      <c r="M102" s="100" t="str">
        <f t="shared" si="4"/>
        <v/>
      </c>
      <c r="N102" s="4"/>
      <c r="O102" s="101" t="str">
        <f t="shared" si="8"/>
        <v/>
      </c>
      <c r="P102" s="4"/>
      <c r="Q102" s="101" t="str">
        <f t="shared" si="9"/>
        <v/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296"/>
      <c r="BZ102" s="123">
        <f t="shared" si="7"/>
        <v>0</v>
      </c>
      <c r="CA102" s="8"/>
      <c r="CB102" s="117"/>
    </row>
    <row r="103" spans="1:80" ht="25.2" customHeight="1" thickBot="1" x14ac:dyDescent="0.3">
      <c r="A103" s="268"/>
      <c r="B103" s="120">
        <v>85</v>
      </c>
      <c r="C103" s="66"/>
      <c r="D103" s="67"/>
      <c r="E103" s="69"/>
      <c r="F103" s="65"/>
      <c r="G103" s="63"/>
      <c r="H103" s="69"/>
      <c r="I103" s="64"/>
      <c r="J103" s="68"/>
      <c r="K103" s="104"/>
      <c r="L103" s="4"/>
      <c r="M103" s="100" t="str">
        <f t="shared" si="4"/>
        <v/>
      </c>
      <c r="N103" s="4"/>
      <c r="O103" s="101" t="str">
        <f t="shared" si="8"/>
        <v/>
      </c>
      <c r="P103" s="4"/>
      <c r="Q103" s="101" t="str">
        <f t="shared" si="9"/>
        <v/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296"/>
      <c r="BZ103" s="123">
        <f t="shared" si="7"/>
        <v>0</v>
      </c>
      <c r="CA103" s="8"/>
      <c r="CB103" s="117"/>
    </row>
    <row r="104" spans="1:80" ht="25.2" customHeight="1" thickBot="1" x14ac:dyDescent="0.3">
      <c r="A104" s="268"/>
      <c r="B104" s="120">
        <v>86</v>
      </c>
      <c r="C104" s="66"/>
      <c r="D104" s="67"/>
      <c r="E104" s="69"/>
      <c r="F104" s="65"/>
      <c r="G104" s="63"/>
      <c r="H104" s="69"/>
      <c r="I104" s="64"/>
      <c r="J104" s="68"/>
      <c r="K104" s="104"/>
      <c r="L104" s="4"/>
      <c r="M104" s="100" t="str">
        <f t="shared" si="4"/>
        <v/>
      </c>
      <c r="N104" s="4"/>
      <c r="O104" s="101" t="str">
        <f t="shared" si="8"/>
        <v/>
      </c>
      <c r="P104" s="4"/>
      <c r="Q104" s="101" t="str">
        <f t="shared" si="9"/>
        <v/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296"/>
      <c r="BZ104" s="123">
        <f t="shared" si="7"/>
        <v>0</v>
      </c>
      <c r="CA104" s="8"/>
      <c r="CB104" s="117"/>
    </row>
    <row r="105" spans="1:80" ht="25.2" customHeight="1" thickBot="1" x14ac:dyDescent="0.3">
      <c r="A105" s="268"/>
      <c r="B105" s="120">
        <v>87</v>
      </c>
      <c r="C105" s="66"/>
      <c r="D105" s="67"/>
      <c r="E105" s="69"/>
      <c r="F105" s="65"/>
      <c r="G105" s="63"/>
      <c r="H105" s="69"/>
      <c r="I105" s="64"/>
      <c r="J105" s="68"/>
      <c r="K105" s="104"/>
      <c r="L105" s="4"/>
      <c r="M105" s="100" t="str">
        <f t="shared" si="4"/>
        <v/>
      </c>
      <c r="N105" s="4"/>
      <c r="O105" s="101" t="str">
        <f t="shared" si="8"/>
        <v/>
      </c>
      <c r="P105" s="4"/>
      <c r="Q105" s="101" t="str">
        <f t="shared" si="9"/>
        <v/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296"/>
      <c r="BZ105" s="123">
        <f t="shared" si="7"/>
        <v>0</v>
      </c>
      <c r="CA105" s="8"/>
      <c r="CB105" s="117"/>
    </row>
    <row r="106" spans="1:80" ht="25.2" customHeight="1" thickBot="1" x14ac:dyDescent="0.3">
      <c r="A106" s="268"/>
      <c r="B106" s="121">
        <v>88</v>
      </c>
      <c r="C106" s="66"/>
      <c r="D106" s="67"/>
      <c r="E106" s="69"/>
      <c r="F106" s="65"/>
      <c r="G106" s="63"/>
      <c r="H106" s="69"/>
      <c r="I106" s="64"/>
      <c r="J106" s="68"/>
      <c r="K106" s="104"/>
      <c r="L106" s="4"/>
      <c r="M106" s="100" t="str">
        <f t="shared" si="4"/>
        <v/>
      </c>
      <c r="N106" s="51"/>
      <c r="O106" s="102" t="str">
        <f t="shared" si="8"/>
        <v/>
      </c>
      <c r="P106" s="51"/>
      <c r="Q106" s="102" t="str">
        <f t="shared" si="9"/>
        <v/>
      </c>
      <c r="R106" s="51"/>
      <c r="S106" s="51"/>
      <c r="T106" s="51"/>
      <c r="U106" s="51"/>
      <c r="V106" s="51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297"/>
      <c r="BZ106" s="123">
        <f t="shared" si="7"/>
        <v>0</v>
      </c>
      <c r="CA106" s="8"/>
      <c r="CB106" s="117"/>
    </row>
    <row r="107" spans="1:80" ht="25.2" customHeight="1" thickBot="1" x14ac:dyDescent="0.3">
      <c r="A107" s="268"/>
      <c r="B107" s="298" t="s">
        <v>537</v>
      </c>
      <c r="C107" s="299"/>
      <c r="D107" s="299"/>
      <c r="E107" s="299"/>
      <c r="F107" s="299"/>
      <c r="G107" s="299"/>
      <c r="H107" s="299"/>
      <c r="I107" s="299"/>
      <c r="J107" s="299"/>
      <c r="K107" s="300"/>
      <c r="L107" s="76">
        <f>COUNTA(L13:L106)</f>
        <v>0</v>
      </c>
      <c r="M107" s="76">
        <f>COUNT(M13:M106)</f>
        <v>0</v>
      </c>
      <c r="N107" s="76">
        <f>COUNTA(N13:N106)</f>
        <v>0</v>
      </c>
      <c r="O107" s="76">
        <f>COUNT(O13:O106)</f>
        <v>0</v>
      </c>
      <c r="P107" s="76">
        <f>COUNTA(P13:P106)</f>
        <v>50</v>
      </c>
      <c r="Q107" s="76">
        <f>COUNT(Q13:Q106)</f>
        <v>50</v>
      </c>
      <c r="R107" s="76">
        <f t="shared" ref="R107:T107" si="10">COUNTA(R13:R106)</f>
        <v>0</v>
      </c>
      <c r="S107" s="76">
        <f t="shared" si="10"/>
        <v>0</v>
      </c>
      <c r="T107" s="76">
        <f t="shared" si="10"/>
        <v>0</v>
      </c>
      <c r="U107" s="76">
        <f t="shared" ref="U107:BX107" si="11">COUNTA(U13:U106)</f>
        <v>0</v>
      </c>
      <c r="V107" s="76">
        <f t="shared" si="11"/>
        <v>0</v>
      </c>
      <c r="W107" s="76">
        <f t="shared" si="11"/>
        <v>0</v>
      </c>
      <c r="X107" s="76">
        <f t="shared" si="11"/>
        <v>0</v>
      </c>
      <c r="Y107" s="76">
        <f t="shared" si="11"/>
        <v>0</v>
      </c>
      <c r="Z107" s="76">
        <f t="shared" si="11"/>
        <v>0</v>
      </c>
      <c r="AA107" s="76">
        <f t="shared" si="11"/>
        <v>0</v>
      </c>
      <c r="AB107" s="76">
        <f t="shared" si="11"/>
        <v>0</v>
      </c>
      <c r="AC107" s="76">
        <f t="shared" si="11"/>
        <v>0</v>
      </c>
      <c r="AD107" s="76">
        <f t="shared" si="11"/>
        <v>0</v>
      </c>
      <c r="AE107" s="76">
        <f t="shared" si="11"/>
        <v>0</v>
      </c>
      <c r="AF107" s="76">
        <f t="shared" si="11"/>
        <v>0</v>
      </c>
      <c r="AG107" s="76">
        <f t="shared" si="11"/>
        <v>0</v>
      </c>
      <c r="AH107" s="76">
        <f t="shared" si="11"/>
        <v>50</v>
      </c>
      <c r="AI107" s="76">
        <f t="shared" si="11"/>
        <v>0</v>
      </c>
      <c r="AJ107" s="76">
        <f t="shared" si="11"/>
        <v>0</v>
      </c>
      <c r="AK107" s="76">
        <f t="shared" si="11"/>
        <v>0</v>
      </c>
      <c r="AL107" s="76">
        <f t="shared" si="11"/>
        <v>0</v>
      </c>
      <c r="AM107" s="76">
        <f t="shared" si="11"/>
        <v>0</v>
      </c>
      <c r="AN107" s="76">
        <f t="shared" si="11"/>
        <v>0</v>
      </c>
      <c r="AO107" s="76">
        <f t="shared" si="11"/>
        <v>0</v>
      </c>
      <c r="AP107" s="76">
        <f t="shared" si="11"/>
        <v>0</v>
      </c>
      <c r="AQ107" s="76">
        <f t="shared" si="11"/>
        <v>0</v>
      </c>
      <c r="AR107" s="76">
        <f t="shared" si="11"/>
        <v>0</v>
      </c>
      <c r="AS107" s="76">
        <f t="shared" si="11"/>
        <v>0</v>
      </c>
      <c r="AT107" s="76">
        <f t="shared" si="11"/>
        <v>0</v>
      </c>
      <c r="AU107" s="76">
        <f t="shared" si="11"/>
        <v>0</v>
      </c>
      <c r="AV107" s="76">
        <f t="shared" si="11"/>
        <v>0</v>
      </c>
      <c r="AW107" s="76">
        <f t="shared" si="11"/>
        <v>0</v>
      </c>
      <c r="AX107" s="76">
        <f t="shared" si="11"/>
        <v>0</v>
      </c>
      <c r="AY107" s="76">
        <f t="shared" si="11"/>
        <v>0</v>
      </c>
      <c r="AZ107" s="76">
        <f t="shared" si="11"/>
        <v>0</v>
      </c>
      <c r="BA107" s="76">
        <f t="shared" si="11"/>
        <v>0</v>
      </c>
      <c r="BB107" s="76">
        <f t="shared" si="11"/>
        <v>0</v>
      </c>
      <c r="BC107" s="76">
        <f t="shared" si="11"/>
        <v>0</v>
      </c>
      <c r="BD107" s="76">
        <f t="shared" si="11"/>
        <v>0</v>
      </c>
      <c r="BE107" s="76">
        <f t="shared" si="11"/>
        <v>0</v>
      </c>
      <c r="BF107" s="76">
        <f t="shared" si="11"/>
        <v>0</v>
      </c>
      <c r="BG107" s="76">
        <f t="shared" si="11"/>
        <v>0</v>
      </c>
      <c r="BH107" s="76">
        <f t="shared" si="11"/>
        <v>0</v>
      </c>
      <c r="BI107" s="76">
        <f t="shared" si="11"/>
        <v>0</v>
      </c>
      <c r="BJ107" s="76">
        <f t="shared" si="11"/>
        <v>0</v>
      </c>
      <c r="BK107" s="76">
        <f t="shared" si="11"/>
        <v>0</v>
      </c>
      <c r="BL107" s="76">
        <f t="shared" si="11"/>
        <v>0</v>
      </c>
      <c r="BM107" s="76">
        <f t="shared" si="11"/>
        <v>0</v>
      </c>
      <c r="BN107" s="76">
        <f t="shared" si="11"/>
        <v>0</v>
      </c>
      <c r="BO107" s="76">
        <f t="shared" si="11"/>
        <v>0</v>
      </c>
      <c r="BP107" s="76">
        <f t="shared" si="11"/>
        <v>0</v>
      </c>
      <c r="BQ107" s="76">
        <f t="shared" si="11"/>
        <v>0</v>
      </c>
      <c r="BR107" s="76">
        <f t="shared" si="11"/>
        <v>0</v>
      </c>
      <c r="BS107" s="76">
        <f t="shared" si="11"/>
        <v>0</v>
      </c>
      <c r="BT107" s="76">
        <f t="shared" si="11"/>
        <v>0</v>
      </c>
      <c r="BU107" s="76">
        <f t="shared" si="11"/>
        <v>0</v>
      </c>
      <c r="BV107" s="76">
        <f t="shared" si="11"/>
        <v>0</v>
      </c>
      <c r="BW107" s="76">
        <f t="shared" si="11"/>
        <v>0</v>
      </c>
      <c r="BX107" s="76">
        <f t="shared" si="11"/>
        <v>0</v>
      </c>
      <c r="BY107" s="301"/>
      <c r="BZ107" s="302"/>
      <c r="CA107" s="305"/>
      <c r="CB107" s="117"/>
    </row>
    <row r="108" spans="1:80" ht="90" customHeight="1" thickBot="1" x14ac:dyDescent="0.3">
      <c r="A108" s="268"/>
      <c r="B108" s="298" t="s">
        <v>24</v>
      </c>
      <c r="C108" s="299"/>
      <c r="D108" s="299"/>
      <c r="E108" s="299"/>
      <c r="F108" s="299"/>
      <c r="G108" s="299"/>
      <c r="H108" s="299"/>
      <c r="I108" s="299"/>
      <c r="J108" s="299"/>
      <c r="K108" s="300"/>
      <c r="L108" s="77">
        <f>L10*L107</f>
        <v>0</v>
      </c>
      <c r="M108" s="77">
        <f>SUM(M13:M106)</f>
        <v>0</v>
      </c>
      <c r="N108" s="77">
        <f t="shared" ref="N108:U108" si="12">N10*N107</f>
        <v>0</v>
      </c>
      <c r="O108" s="77">
        <f>SUM(O13:O106)</f>
        <v>0</v>
      </c>
      <c r="P108" s="77">
        <f>P10*P107</f>
        <v>1492</v>
      </c>
      <c r="Q108" s="77">
        <f>SUM(Q13:Q106)</f>
        <v>438.99999999999943</v>
      </c>
      <c r="R108" s="77">
        <f t="shared" si="12"/>
        <v>0</v>
      </c>
      <c r="S108" s="77">
        <f t="shared" si="12"/>
        <v>0</v>
      </c>
      <c r="T108" s="77">
        <f t="shared" si="12"/>
        <v>0</v>
      </c>
      <c r="U108" s="77">
        <f t="shared" si="12"/>
        <v>0</v>
      </c>
      <c r="V108" s="77">
        <f t="shared" ref="V108" si="13">V10*V107</f>
        <v>0</v>
      </c>
      <c r="W108" s="77">
        <f t="shared" ref="W108" si="14">W10*W107</f>
        <v>0</v>
      </c>
      <c r="X108" s="77">
        <f t="shared" ref="X108" si="15">X10*X107</f>
        <v>0</v>
      </c>
      <c r="Y108" s="77">
        <f t="shared" ref="Y108:AG108" si="16">Y10*Y107</f>
        <v>0</v>
      </c>
      <c r="Z108" s="77">
        <f t="shared" si="16"/>
        <v>0</v>
      </c>
      <c r="AA108" s="77">
        <f t="shared" si="16"/>
        <v>0</v>
      </c>
      <c r="AB108" s="77">
        <f t="shared" si="16"/>
        <v>0</v>
      </c>
      <c r="AC108" s="77">
        <f t="shared" si="16"/>
        <v>0</v>
      </c>
      <c r="AD108" s="77">
        <f t="shared" si="16"/>
        <v>0</v>
      </c>
      <c r="AE108" s="77">
        <f t="shared" si="16"/>
        <v>0</v>
      </c>
      <c r="AF108" s="77">
        <f t="shared" si="16"/>
        <v>0</v>
      </c>
      <c r="AG108" s="77">
        <f t="shared" si="16"/>
        <v>0</v>
      </c>
      <c r="AH108" s="77">
        <f t="shared" ref="AH108:AI108" si="17">AH10*AH107</f>
        <v>5665.5</v>
      </c>
      <c r="AI108" s="77">
        <f t="shared" si="17"/>
        <v>0</v>
      </c>
      <c r="AJ108" s="77">
        <f t="shared" ref="AJ108:AS108" si="18">AJ10*AJ107</f>
        <v>0</v>
      </c>
      <c r="AK108" s="77">
        <f t="shared" si="18"/>
        <v>0</v>
      </c>
      <c r="AL108" s="77">
        <f t="shared" si="18"/>
        <v>0</v>
      </c>
      <c r="AM108" s="77">
        <f t="shared" si="18"/>
        <v>0</v>
      </c>
      <c r="AN108" s="77">
        <f t="shared" si="18"/>
        <v>0</v>
      </c>
      <c r="AO108" s="77">
        <f t="shared" si="18"/>
        <v>0</v>
      </c>
      <c r="AP108" s="77">
        <f t="shared" si="18"/>
        <v>0</v>
      </c>
      <c r="AQ108" s="77">
        <f t="shared" si="18"/>
        <v>0</v>
      </c>
      <c r="AR108" s="77">
        <f t="shared" si="18"/>
        <v>0</v>
      </c>
      <c r="AS108" s="77">
        <f t="shared" si="18"/>
        <v>0</v>
      </c>
      <c r="AT108" s="77">
        <f t="shared" ref="AT108" si="19">AT10*AT107</f>
        <v>0</v>
      </c>
      <c r="AU108" s="77">
        <f t="shared" ref="AU108:AX108" si="20">AU10*AU107</f>
        <v>0</v>
      </c>
      <c r="AV108" s="77">
        <f t="shared" si="20"/>
        <v>0</v>
      </c>
      <c r="AW108" s="77">
        <f t="shared" si="20"/>
        <v>0</v>
      </c>
      <c r="AX108" s="77">
        <f t="shared" si="20"/>
        <v>0</v>
      </c>
      <c r="AY108" s="77">
        <f t="shared" ref="AY108:BA108" si="21">AY10*AY107</f>
        <v>0</v>
      </c>
      <c r="AZ108" s="77">
        <f t="shared" si="21"/>
        <v>0</v>
      </c>
      <c r="BA108" s="77">
        <f t="shared" si="21"/>
        <v>0</v>
      </c>
      <c r="BB108" s="77">
        <f t="shared" ref="BB108" si="22">BB10*BB107</f>
        <v>0</v>
      </c>
      <c r="BC108" s="77">
        <f t="shared" ref="BC108" si="23">BC10*BC107</f>
        <v>0</v>
      </c>
      <c r="BD108" s="77">
        <f t="shared" ref="BD108" si="24">BD10*BD107</f>
        <v>0</v>
      </c>
      <c r="BE108" s="77">
        <f t="shared" ref="BE108" si="25">BE10*BE107</f>
        <v>0</v>
      </c>
      <c r="BF108" s="77">
        <f t="shared" ref="BF108:BI108" si="26">BF10*BF107</f>
        <v>0</v>
      </c>
      <c r="BG108" s="77">
        <f t="shared" si="26"/>
        <v>0</v>
      </c>
      <c r="BH108" s="77">
        <f t="shared" si="26"/>
        <v>0</v>
      </c>
      <c r="BI108" s="77">
        <f t="shared" si="26"/>
        <v>0</v>
      </c>
      <c r="BJ108" s="77">
        <f t="shared" ref="BJ108" si="27">BJ10*BJ107</f>
        <v>0</v>
      </c>
      <c r="BK108" s="77">
        <f t="shared" ref="BK108" si="28">BK10*BK107</f>
        <v>0</v>
      </c>
      <c r="BL108" s="77">
        <f t="shared" ref="BL108" si="29">BL10*BL107</f>
        <v>0</v>
      </c>
      <c r="BM108" s="77">
        <f t="shared" ref="BM108:BO108" si="30">BM10*BM107</f>
        <v>0</v>
      </c>
      <c r="BN108" s="77">
        <f t="shared" si="30"/>
        <v>0</v>
      </c>
      <c r="BO108" s="77">
        <f t="shared" si="30"/>
        <v>0</v>
      </c>
      <c r="BP108" s="77">
        <f t="shared" ref="BP108:BQ108" si="31">BP10*BP107</f>
        <v>0</v>
      </c>
      <c r="BQ108" s="77">
        <f t="shared" si="31"/>
        <v>0</v>
      </c>
      <c r="BR108" s="77">
        <f t="shared" ref="BR108" si="32">BR10*BR107</f>
        <v>0</v>
      </c>
      <c r="BS108" s="77">
        <f t="shared" ref="BS108:BT108" si="33">BS10*BS107</f>
        <v>0</v>
      </c>
      <c r="BT108" s="77">
        <f t="shared" si="33"/>
        <v>0</v>
      </c>
      <c r="BU108" s="77">
        <f t="shared" ref="BU108" si="34">BU10*BU107</f>
        <v>0</v>
      </c>
      <c r="BV108" s="77">
        <f t="shared" ref="BV108" si="35">BV10*BV107</f>
        <v>0</v>
      </c>
      <c r="BW108" s="77">
        <f t="shared" ref="BW108:BX108" si="36">BW10*BW107</f>
        <v>0</v>
      </c>
      <c r="BX108" s="77">
        <f t="shared" si="36"/>
        <v>0</v>
      </c>
      <c r="BY108" s="303"/>
      <c r="BZ108" s="304"/>
      <c r="CA108" s="306"/>
      <c r="CB108" s="117"/>
    </row>
    <row r="109" spans="1:80" ht="25.2" customHeight="1" thickBot="1" x14ac:dyDescent="0.35">
      <c r="A109" s="268"/>
      <c r="B109" s="298" t="s">
        <v>25</v>
      </c>
      <c r="C109" s="299"/>
      <c r="D109" s="299"/>
      <c r="E109" s="299"/>
      <c r="F109" s="299"/>
      <c r="G109" s="299"/>
      <c r="H109" s="299"/>
      <c r="I109" s="299"/>
      <c r="J109" s="299"/>
      <c r="K109" s="300"/>
      <c r="L109" s="308">
        <f>SUM(L108:BX108)</f>
        <v>7596.5</v>
      </c>
      <c r="M109" s="309"/>
      <c r="N109" s="309"/>
      <c r="O109" s="309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  <c r="AI109" s="310"/>
      <c r="AJ109" s="310"/>
      <c r="AK109" s="310"/>
      <c r="AL109" s="310"/>
      <c r="AM109" s="310"/>
      <c r="AN109" s="310"/>
      <c r="AO109" s="310"/>
      <c r="AP109" s="310"/>
      <c r="AQ109" s="310"/>
      <c r="AR109" s="310"/>
      <c r="AS109" s="310"/>
      <c r="AT109" s="310"/>
      <c r="AU109" s="310"/>
      <c r="AV109" s="310"/>
      <c r="AW109" s="310"/>
      <c r="AX109" s="310"/>
      <c r="AY109" s="310"/>
      <c r="AZ109" s="310"/>
      <c r="BA109" s="310"/>
      <c r="BB109" s="310"/>
      <c r="BC109" s="310"/>
      <c r="BD109" s="310"/>
      <c r="BE109" s="310"/>
      <c r="BF109" s="310"/>
      <c r="BG109" s="310"/>
      <c r="BH109" s="310"/>
      <c r="BI109" s="310"/>
      <c r="BJ109" s="310"/>
      <c r="BK109" s="310"/>
      <c r="BL109" s="310"/>
      <c r="BM109" s="310"/>
      <c r="BN109" s="310"/>
      <c r="BO109" s="310"/>
      <c r="BP109" s="310"/>
      <c r="BQ109" s="310"/>
      <c r="BR109" s="310"/>
      <c r="BS109" s="310"/>
      <c r="BT109" s="310"/>
      <c r="BU109" s="310"/>
      <c r="BV109" s="310"/>
      <c r="BW109" s="310"/>
      <c r="BX109" s="310"/>
      <c r="BY109" s="310"/>
      <c r="BZ109" s="310"/>
      <c r="CA109" s="306"/>
      <c r="CB109" s="117"/>
    </row>
    <row r="110" spans="1:80" ht="25.2" customHeight="1" thickBot="1" x14ac:dyDescent="0.35">
      <c r="A110" s="268"/>
      <c r="B110" s="298" t="s">
        <v>538</v>
      </c>
      <c r="C110" s="299"/>
      <c r="D110" s="299"/>
      <c r="E110" s="299"/>
      <c r="F110" s="299"/>
      <c r="G110" s="299"/>
      <c r="H110" s="299"/>
      <c r="I110" s="299"/>
      <c r="J110" s="299"/>
      <c r="K110" s="300"/>
      <c r="L110" s="311">
        <f>COUNTA(H12:H106)</f>
        <v>50</v>
      </c>
      <c r="M110" s="312"/>
      <c r="N110" s="312"/>
      <c r="O110" s="312"/>
      <c r="P110" s="313"/>
      <c r="Q110" s="313"/>
      <c r="R110" s="313"/>
      <c r="S110" s="313"/>
      <c r="T110" s="313"/>
      <c r="U110" s="313"/>
      <c r="V110" s="313"/>
      <c r="W110" s="313"/>
      <c r="X110" s="313"/>
      <c r="Y110" s="313"/>
      <c r="Z110" s="313"/>
      <c r="AA110" s="313"/>
      <c r="AB110" s="313"/>
      <c r="AC110" s="313"/>
      <c r="AD110" s="313"/>
      <c r="AE110" s="313"/>
      <c r="AF110" s="313"/>
      <c r="AG110" s="313"/>
      <c r="AH110" s="313"/>
      <c r="AI110" s="313"/>
      <c r="AJ110" s="313"/>
      <c r="AK110" s="313"/>
      <c r="AL110" s="313"/>
      <c r="AM110" s="313"/>
      <c r="AN110" s="313"/>
      <c r="AO110" s="313"/>
      <c r="AP110" s="313"/>
      <c r="AQ110" s="313"/>
      <c r="AR110" s="313"/>
      <c r="AS110" s="313"/>
      <c r="AT110" s="313"/>
      <c r="AU110" s="313"/>
      <c r="AV110" s="313"/>
      <c r="AW110" s="313"/>
      <c r="AX110" s="313"/>
      <c r="AY110" s="313"/>
      <c r="AZ110" s="313"/>
      <c r="BA110" s="313"/>
      <c r="BB110" s="313"/>
      <c r="BC110" s="313"/>
      <c r="BD110" s="313"/>
      <c r="BE110" s="313"/>
      <c r="BF110" s="313"/>
      <c r="BG110" s="313"/>
      <c r="BH110" s="313"/>
      <c r="BI110" s="313"/>
      <c r="BJ110" s="313"/>
      <c r="BK110" s="313"/>
      <c r="BL110" s="313"/>
      <c r="BM110" s="313"/>
      <c r="BN110" s="313"/>
      <c r="BO110" s="313"/>
      <c r="BP110" s="313"/>
      <c r="BQ110" s="313"/>
      <c r="BR110" s="313"/>
      <c r="BS110" s="313"/>
      <c r="BT110" s="313"/>
      <c r="BU110" s="313"/>
      <c r="BV110" s="313"/>
      <c r="BW110" s="313"/>
      <c r="BX110" s="313"/>
      <c r="BY110" s="313"/>
      <c r="BZ110" s="313"/>
      <c r="CA110" s="307"/>
      <c r="CB110" s="117"/>
    </row>
    <row r="111" spans="1:80" x14ac:dyDescent="0.25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  <c r="AR111" s="267"/>
      <c r="AS111" s="267"/>
      <c r="AT111" s="267"/>
      <c r="AU111" s="267"/>
      <c r="AV111" s="267"/>
      <c r="AW111" s="267"/>
      <c r="AX111" s="267"/>
      <c r="AY111" s="267"/>
      <c r="AZ111" s="267"/>
      <c r="BA111" s="267"/>
      <c r="BB111" s="267"/>
      <c r="BC111" s="267"/>
      <c r="BD111" s="267"/>
      <c r="BE111" s="267"/>
      <c r="BF111" s="267"/>
      <c r="BG111" s="267"/>
      <c r="BH111" s="267"/>
      <c r="BI111" s="267"/>
      <c r="BJ111" s="267"/>
      <c r="BK111" s="267"/>
      <c r="BL111" s="267"/>
      <c r="BM111" s="267"/>
      <c r="BN111" s="267"/>
      <c r="BO111" s="267"/>
      <c r="BP111" s="267"/>
      <c r="BQ111" s="267"/>
      <c r="BR111" s="267"/>
      <c r="BS111" s="267"/>
      <c r="BT111" s="267"/>
      <c r="BU111" s="267"/>
      <c r="BV111" s="267"/>
      <c r="BW111" s="267"/>
      <c r="BX111" s="267"/>
      <c r="BY111" s="267"/>
      <c r="BZ111" s="267"/>
      <c r="CA111" s="267"/>
      <c r="CB111" s="117"/>
    </row>
  </sheetData>
  <sheetProtection algorithmName="SHA-512" hashValue="+OUfHYu+qKpL/hYAEW8zftCIaMG0eMIQFnZdtlgQ4yNYZM3cuILpw9wysi8dFDcSITbhuuFLn+MFBHdTQJ9vog==" saltValue="Pcu5PMyqtObvR1iMPrcpsg==" spinCount="100000" sheet="1" objects="1" scenarios="1"/>
  <mergeCells count="40">
    <mergeCell ref="BY13:BY56"/>
    <mergeCell ref="J58:AZ58"/>
    <mergeCell ref="J59:AZ59"/>
    <mergeCell ref="J60:AZ60"/>
    <mergeCell ref="J8:J11"/>
    <mergeCell ref="K8:K12"/>
    <mergeCell ref="L8:V8"/>
    <mergeCell ref="W8:BX8"/>
    <mergeCell ref="BZ8:BZ11"/>
    <mergeCell ref="A111:CA111"/>
    <mergeCell ref="J62:AZ62"/>
    <mergeCell ref="BY63:BY106"/>
    <mergeCell ref="B107:K107"/>
    <mergeCell ref="BY107:BZ108"/>
    <mergeCell ref="CA107:CA110"/>
    <mergeCell ref="B108:K108"/>
    <mergeCell ref="B109:K109"/>
    <mergeCell ref="L109:BZ109"/>
    <mergeCell ref="B110:K110"/>
    <mergeCell ref="L110:BZ110"/>
    <mergeCell ref="B57:F62"/>
    <mergeCell ref="J61:AZ61"/>
    <mergeCell ref="I8:I11"/>
    <mergeCell ref="BY8:BY11"/>
    <mergeCell ref="CA8:CA11"/>
    <mergeCell ref="A1:CB1"/>
    <mergeCell ref="A2:A110"/>
    <mergeCell ref="B2:F6"/>
    <mergeCell ref="J2:AZ2"/>
    <mergeCell ref="J3:AZ3"/>
    <mergeCell ref="J4:AZ4"/>
    <mergeCell ref="J5:AZ5"/>
    <mergeCell ref="J6:AZ6"/>
    <mergeCell ref="B7:B11"/>
    <mergeCell ref="C7:CA7"/>
    <mergeCell ref="C8:D10"/>
    <mergeCell ref="E8:E11"/>
    <mergeCell ref="F8:F11"/>
    <mergeCell ref="G8:G11"/>
    <mergeCell ref="H8:H11"/>
  </mergeCells>
  <conditionalFormatting sqref="C12:C56">
    <cfRule type="cellIs" dxfId="54" priority="8" stopIfTrue="1" operator="greaterThan">
      <formula>0</formula>
    </cfRule>
  </conditionalFormatting>
  <conditionalFormatting sqref="C63:C106">
    <cfRule type="cellIs" dxfId="53" priority="2" stopIfTrue="1" operator="greaterThan">
      <formula>0</formula>
    </cfRule>
  </conditionalFormatting>
  <conditionalFormatting sqref="C12:D56">
    <cfRule type="cellIs" dxfId="52" priority="7" stopIfTrue="1" operator="lessThan">
      <formula>-74</formula>
    </cfRule>
  </conditionalFormatting>
  <conditionalFormatting sqref="C63:D106">
    <cfRule type="cellIs" dxfId="51" priority="1" stopIfTrue="1" operator="lessThan">
      <formula>-74</formula>
    </cfRule>
  </conditionalFormatting>
  <conditionalFormatting sqref="D12:D56">
    <cfRule type="cellIs" dxfId="50" priority="10" stopIfTrue="1" operator="greaterThan">
      <formula>6</formula>
    </cfRule>
    <cfRule type="cellIs" dxfId="49" priority="11" stopIfTrue="1" operator="lessThan">
      <formula>-36</formula>
    </cfRule>
    <cfRule type="cellIs" dxfId="48" priority="12" stopIfTrue="1" operator="greaterThan">
      <formula>8</formula>
    </cfRule>
  </conditionalFormatting>
  <conditionalFormatting sqref="D63:D106">
    <cfRule type="cellIs" dxfId="47" priority="4" stopIfTrue="1" operator="greaterThan">
      <formula>6</formula>
    </cfRule>
    <cfRule type="cellIs" dxfId="46" priority="5" stopIfTrue="1" operator="lessThan">
      <formula>-36</formula>
    </cfRule>
    <cfRule type="cellIs" dxfId="45" priority="6" stopIfTrue="1" operator="greaterThan">
      <formula>8</formula>
    </cfRule>
  </conditionalFormatting>
  <dataValidations xWindow="1673" yWindow="272" count="80">
    <dataValidation type="textLength" operator="equal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3:H56 H63:H106" xr:uid="{00000000-0002-0000-0100-000000000000}">
      <formula1>6</formula1>
    </dataValidation>
    <dataValidation type="list" allowBlank="1" showInputMessage="1" showErrorMessage="1" sqref="F7" xr:uid="{00000000-0002-0000-0100-000001000000}">
      <formula1>$D$1:$D$168</formula1>
    </dataValidation>
    <dataValidation type="textLength" allowBlank="1" showInputMessage="1" showErrorMessage="1" errorTitle="Fora do padrão" error="Número de campo está fora do padrão estabelecido na Manual de Geoquímica" promptTitle="Usar Padrão Manual de Geoquímica" prompt="Número de Campo composto por 4 primeiros números do Centro de Custo do Projeto-Sigla do Coletor-Natureza da Amostra-Número de Campo. EX: 4323-CC-R-0031A" sqref="E63:E106 E14:E56" xr:uid="{00000000-0002-0000-0100-000002000000}">
      <formula1>14</formula1>
      <formula2>15</formula2>
    </dataValidation>
    <dataValidation allowBlank="1" showInputMessage="1" showErrorMessage="1" promptTitle="Especificação de coordenadas" prompt="Utilize no mínimo oito casas decimais" sqref="C63:D106 C14:D56 C8:D13" xr:uid="{00000000-0002-0000-0100-000003000000}"/>
    <dataValidation type="textLength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2" xr:uid="{00000000-0002-0000-0100-000004000000}">
      <formula1>6</formula1>
      <formula2>6</formula2>
    </dataValidation>
    <dataValidation type="list" allowBlank="1" showInputMessage="1" showErrorMessage="1" sqref="I12" xr:uid="{00000000-0002-0000-0100-000005000000}">
      <formula1>"Rocha, Saprolito,Solo,Sed.Corrente,CB aluvião,CB solo,CB rocha,Testemunho rocha,Testemunho saprolito,Outros"</formula1>
    </dataValidation>
    <dataValidation type="list" allowBlank="1" showInputMessage="1" showErrorMessage="1" sqref="F112:F1048576 J12" xr:uid="{00000000-0002-0000-0100-000006000000}">
      <formula1>#REF!</formula1>
    </dataValidation>
    <dataValidation type="list" allowBlank="1" showInputMessage="1" showErrorMessage="1" sqref="BY63:BY106" xr:uid="{00000000-0002-0000-0100-000007000000}">
      <formula1>$I$2:$I$9</formula1>
    </dataValidation>
    <dataValidation type="whole" operator="greaterThan" allowBlank="1" showInputMessage="1" showErrorMessage="1" sqref="K13:K56 K63:K106" xr:uid="{00000000-0002-0000-0100-000008000000}">
      <formula1>500</formula1>
    </dataValidation>
    <dataValidation type="textLength" operator="equal" allowBlank="1" showInputMessage="1" showErrorMessage="1" promptTitle="Usar Padrão Manual LAMIM" prompt="número do lote/SIGLA DA SUREG_x000a_Ex: 5237/SA" sqref="G63:G106 G14:G56 G8:G13" xr:uid="{00000000-0002-0000-0100-000009000000}">
      <formula1>7</formula1>
    </dataValidation>
    <dataValidation allowBlank="1" showInputMessage="1" showErrorMessage="1" errorTitle="Peso fora da especificação" error="O peso é inferiror ou superior ao especificado nos manuais da Divisão de Geoquímica. Por favor, contacte a DIGEOQ." promptTitle="Observações da amostra" prompt="Insira inforamções relevantes das amostras relacionadas ás análises caso seja necessário" sqref="CA13:CA56 CA63:CA106" xr:uid="{00000000-0002-0000-0100-00000A000000}"/>
    <dataValidation allowBlank="1" showInputMessage="1" showErrorMessage="1" promptTitle=" PREPS80P-A (R$/amostra)" prompt="Preparação das amostras de solos e sedimento (unidade)" sqref="P63:P106 P14:P56 P9:P13" xr:uid="{00000000-0002-0000-0100-00000B000000}"/>
    <dataValidation allowBlank="1" showInputMessage="1" showErrorMessage="1" promptTitle=" PREPS80P-B (R$/kg)" prompt="Preparação das amostras de solos e sedimento por peso" sqref="Q63:Q106 Q14:Q56 Q9:Q13" xr:uid="{00000000-0002-0000-0100-00000C000000}"/>
    <dataValidation allowBlank="1" showInputMessage="1" showErrorMessage="1" promptTitle="DUP_Brita" prompt="Retirada de duplicatas em amostras indicadas pelo cliente" sqref="R63:R106 R14:R56 R9:R13" xr:uid="{00000000-0002-0000-0100-00000D000000}"/>
    <dataValidation allowBlank="1" showInputMessage="1" showErrorMessage="1" promptTitle="DUP_Polpa" prompt="Retirada de duplicatas em amostras indicadas pelo cliente" sqref="S63:S106 S14:S56 S9:S13" xr:uid="{00000000-0002-0000-0100-00000E000000}"/>
    <dataValidation allowBlank="1" showInputMessage="1" showErrorMessage="1" promptTitle=" PRP250 " prompt="Preparação de amostras de rocha pequenas, cerca de 250g_x000a_Secagem, homogenização, pulverização de 250g de amostras em moinho de aço 95% a 150#." sqref="T63:T106 T14:T56 T9:T13" xr:uid="{00000000-0002-0000-0100-00000F000000}"/>
    <dataValidation allowBlank="1" showInputMessage="1" showErrorMessage="1" promptTitle="PRPGA" prompt="Preparação de amostras em grau de ágata" sqref="U63:U106 U14:U56 U9:U13" xr:uid="{00000000-0002-0000-0100-000010000000}"/>
    <dataValidation allowBlank="1" showInputMessage="1" showErrorMessage="1" promptTitle="LOG03" prompt="Registro e teste de granulometria de amostras pulverizadas" sqref="V63:V106 V14:V56 V9:V13" xr:uid="{00000000-0002-0000-0100-000011000000}"/>
    <dataValidation allowBlank="1" showInputMessage="1" showErrorMessage="1" promptTitle="Densidade" prompt="Determinação de Densidade a Granel (Bulk Density)" sqref="W12" xr:uid="{00000000-0002-0000-0100-000012000000}"/>
    <dataValidation allowBlank="1" showInputMessage="1" showErrorMessage="1" promptTitle="PRP102_E-A (R$/amostra)" prompt="Preparação de amostra de rocha em quarteador Jones (unidade)" sqref="L63:L106 L14:L56 L9:L13" xr:uid="{00000000-0002-0000-0100-000013000000}"/>
    <dataValidation allowBlank="1" showInputMessage="1" showErrorMessage="1" promptTitle="PRP102_E-B (R$/kg)" prompt="Preparação em quarteador Jones das amostras de rocha por peso_x000a_" sqref="M63:M106 M14:M56 M9:M13" xr:uid="{00000000-0002-0000-0100-000014000000}"/>
    <dataValidation allowBlank="1" showInputMessage="1" showErrorMessage="1" promptTitle="PRP102_Y-A (R$/amostra)" prompt="Preparação das amostras de rocha em quarteador rotativo (unidade)" sqref="N63:N106 N14:N56 N9:N13" xr:uid="{00000000-0002-0000-0100-000015000000}"/>
    <dataValidation allowBlank="1" showInputMessage="1" showErrorMessage="1" promptTitle="PRP102_Y-B (R$/kg)" prompt="Preparação em quarteador rotativo das amostras de rocha,  por peso" sqref="O63:O106 O14:O56 O9:O13" xr:uid="{00000000-0002-0000-0100-000016000000}"/>
    <dataValidation allowBlank="1" showInputMessage="1" showErrorMessage="1" promptTitle="PHY04V" prompt="Determinação de Densidade a Granel (Bulk Density)" sqref="W63:W106 W13:W56 W9:W11" xr:uid="{00000000-0002-0000-0100-000017000000}"/>
    <dataValidation allowBlank="1" showInputMessage="1" showErrorMessage="1" promptTitle="DRY10" prompt="Determinação de Umidade Natural - H2O- (Umidade Bulk)" sqref="X63:X106 X12:X56 X9:X11" xr:uid="{00000000-0002-0000-0100-000018000000}"/>
    <dataValidation allowBlank="1" showInputMessage="1" showErrorMessage="1" promptTitle="CCR" prompt="Caracterização Completa de Rocha _ Pacote exploratório" sqref="Y63:Y106 Y12:Y56 Y9:Y11" xr:uid="{00000000-0002-0000-0100-000019000000}"/>
    <dataValidation allowBlank="1" showInputMessage="1" showErrorMessage="1" promptTitle="CCR_NL" prompt="Caracterização Completa de Rocha - Níquel Laterítico" sqref="Z63:Z106 Z12:Z56 Z9:Z11" xr:uid="{00000000-0002-0000-0100-00001A000000}"/>
    <dataValidation allowBlank="1" showInputMessage="1" showErrorMessage="1" promptTitle="CCR_GR" prompt="Caracterização Completa de Rocha - Grafite (Determinação de 37_x000a_elementos por Digestão Multiácida no resíduo após calcinação do grafite -_x000a_ICP OES e determinação de cinzas)" sqref="AA63:AA106 AA12:AA56 AA9:AA11" xr:uid="{00000000-0002-0000-0100-00001B000000}"/>
    <dataValidation allowBlank="1" showInputMessage="1" showErrorMessage="1" promptTitle="CCR_Mn" prompt="Caracterização Completa de Rocha - Manganês_x000a_" sqref="AB63:AB106 AB12:AB56 AB9:AB11" xr:uid="{00000000-0002-0000-0100-00001C000000}"/>
    <dataValidation allowBlank="1" showInputMessage="1" showErrorMessage="1" promptTitle="CCR_Fe" prompt="Caracterização Completa de Rocha – Ferro" sqref="AC63:AC106 AC12:AC56 AC9:AC11" xr:uid="{00000000-0002-0000-0100-00001D000000}"/>
    <dataValidation allowBlank="1" showInputMessage="1" showErrorMessage="1" promptTitle="CCR_PO" prompt="Caracterização Completa de Rocha - Fosfato" sqref="AD63:AD106 AD12:AD56 AD9:AD11" xr:uid="{00000000-0002-0000-0100-00001E000000}"/>
    <dataValidation allowBlank="1" showInputMessage="1" showErrorMessage="1" promptTitle="CCR_PTR" prompt="Caracterização Completa de Rocha - Fosfato incluindo Terras Raras" sqref="AE63:AE106 AE12:AE56 AE9:AE11" xr:uid="{00000000-0002-0000-0100-00001F000000}"/>
    <dataValidation allowBlank="1" showInputMessage="1" showErrorMessage="1" promptTitle="CCR_LS" prompt="Caracterização Completa de Rocha - Cálcario" sqref="AF63:AF106 AF12:AF56 AF9:AF11" xr:uid="{00000000-0002-0000-0100-000020000000}"/>
    <dataValidation allowBlank="1" showInputMessage="1" showErrorMessage="1" promptTitle="CCR_PL" prompt="Caracterização Completa de Rocha - Polimetálicos (Pb, Zn, Cu)" sqref="AG63:AG106 AG12:AG56 AG9:AG11" xr:uid="{00000000-0002-0000-0100-000021000000}"/>
    <dataValidation allowBlank="1" showInputMessage="1" showErrorMessage="1" promptTitle="CCSSI" prompt="Caracterização Completa de Sedimento e/ou solo I" sqref="AH63:AH106 AH12:AH56 AH9:AH11" xr:uid="{00000000-0002-0000-0100-000022000000}"/>
    <dataValidation allowBlank="1" showInputMessage="1" showErrorMessage="1" promptTitle="CCSSII" prompt="Caracterização Completa de Sedimento e/ou solo II" sqref="AI9:AI56 AI63:AI106" xr:uid="{00000000-0002-0000-0100-000023000000}"/>
    <dataValidation allowBlank="1" showInputMessage="1" showErrorMessage="1" promptTitle="XRF79C_13" prompt="Análise de 13 (treze) óxidos maiores através de fusão por tetraborato de_x000a_lítio e leitura por Fluorescência de Raios-X e da perda ao fogo (a 1.000ºC) _x000a_" sqref="AJ63:AJ106 AJ12:AJ56 AJ9:AJ11" xr:uid="{00000000-0002-0000-0100-000024000000}"/>
    <dataValidation allowBlank="1" showInputMessage="1" showErrorMessage="1" promptTitle="XRF72_FE" prompt="Análise de 13 (treze) óxidos maiores através de fusão por tetraborato de_x000a_lítio e leitura por Fluorescência de Raios-X e da perda ao fogo (a 1.000ºC) " sqref="AK9:AK56 AK63:AK106" xr:uid="{00000000-0002-0000-0100-000025000000}"/>
    <dataValidation allowBlank="1" showInputMessage="1" showErrorMessage="1" promptTitle="XRF72FLS" prompt="Fusão com Tetraborato de Lítio e Quantificação por XRF - Minério Calcário" sqref="AL9:AL56 AL63:AL106" xr:uid="{00000000-0002-0000-0100-000026000000}"/>
    <dataValidation allowBlank="1" showInputMessage="1" showErrorMessage="1" promptTitle="XRF72PO" prompt="Fusão com Tetraborato de Lítio e Quantificação por XRF - Minério Fosfato" sqref="AM9:AM56 AM63:AM106" xr:uid="{00000000-0002-0000-0100-000027000000}"/>
    <dataValidation allowBlank="1" showInputMessage="1" showErrorMessage="1" promptTitle="XRF72PTR" prompt="Fusão com Tetraborato de Lítio e Quantificação por XRF - Minério Fosfato - Terras Raras" sqref="AN9:AN56 AN63:AN106" xr:uid="{00000000-0002-0000-0100-000028000000}"/>
    <dataValidation allowBlank="1" showInputMessage="1" showErrorMessage="1" promptTitle="XRF82MN" prompt="Fusão com Tetraborato de Lítio e Carbonato de Lítio. Quantificação por_x000a_XRF - Minério de Manganês" sqref="AO9:AO56 AO63:AO106" xr:uid="{00000000-0002-0000-0100-000029000000}"/>
    <dataValidation allowBlank="1" showInputMessage="1" showErrorMessage="1" promptTitle="XRF82GR" prompt="Fusão com Tetraborato de Lítio e Carbonato de Lítio. Quantificação por_x000a_XRF - Minério de Grafite" sqref="AP9:AP56 AP63:AP106" xr:uid="{00000000-0002-0000-0100-00002A000000}"/>
    <dataValidation allowBlank="1" showInputMessage="1" showErrorMessage="1" promptTitle="XRF76R" prompt="Fluorescência de Raios X (Fusão com tetraborato de lítio) - Terras Raras" sqref="AQ9:AQ56 AQ63:AQ106" xr:uid="{00000000-0002-0000-0100-00002B000000}"/>
    <dataValidation allowBlank="1" showInputMessage="1" showErrorMessage="1" promptTitle="XRF80B" prompt="Fluorescência de Raios X (Fusão especial com Li2B4O7 + Li2CO3 +_x000a_La2O3) em concentrados" sqref="AR9:AR56 AR63:AR106" xr:uid="{00000000-0002-0000-0100-00002C000000}"/>
    <dataValidation allowBlank="1" showInputMessage="1" showErrorMessage="1" promptTitle="XRF82CR" prompt="Fusão com Tetraborato de Lítio e Carbonato de Lítio. Quantificação por_x000a_XRF - Minério Cromita_x000a_" sqref="AS9:AS56 AS63:AS106" xr:uid="{00000000-0002-0000-0100-00002D000000}"/>
    <dataValidation allowBlank="1" showInputMessage="1" showErrorMessage="1" promptTitle="IMS95A" prompt="Análise de 31 (trinta e um) elementos traços incluindo elementos terras_x000a_raras e metais raros através de fusão por metaborato de lítio e leitura por_x000a_ICP-OES/ICP-MS" sqref="AT9:AT56 AT63:AT106" xr:uid="{00000000-0002-0000-0100-00002E000000}"/>
    <dataValidation allowBlank="1" showInputMessage="1" showErrorMessage="1" promptTitle="ICP95A/IMS95A" prompt="Análise para determinação de 48 elementos por fusão com metaborato de_x000a_lítio - ICP OES/MS incluindo elementos maiores, traços e terras raras" sqref="AU9:AU56 AU63:AU106" xr:uid="{00000000-0002-0000-0100-00002F000000}"/>
    <dataValidation allowBlank="1" showInputMessage="1" showErrorMessage="1" promptTitle="ICP95A" prompt="Análise Química para de Determinação de 17 elementos por Fusão com_x000a_Metaborato de Lítio - ICP OES e determinação de LOI (Loss on ignition) -_x000a_Perda ao fogo por calcinação da amostra a 1000ºC" sqref="AV9:AV56 AV63:AV106" xr:uid="{00000000-0002-0000-0100-000030000000}"/>
    <dataValidation allowBlank="1" showInputMessage="1" showErrorMessage="1" promptTitle="IMS95RS" prompt="Análise Química para Determinação de 17 elementos por Fusão com_x000a_Metaborato de Lítio - Terras Raras - ETR (Sobrelimite) - ICP MS" sqref="AW9:AW56 AW63:AW106" xr:uid="{00000000-0002-0000-0100-000031000000}"/>
    <dataValidation allowBlank="1" showInputMessage="1" showErrorMessage="1" promptTitle="ICM40B" prompt="Análise química para 50 (cinquenta) elementos traços com foco em metais_x000a_base através de abertura por 4 ácidos e leitura por ICP-OES/ICP-MS " sqref="AX9:AX56 AX63:AX106" xr:uid="{00000000-0002-0000-0100-000032000000}"/>
    <dataValidation allowBlank="1" showInputMessage="1" showErrorMessage="1" promptTitle="ICM14B_10" prompt="Análise de 9 (nove) elementos traços voláteis com afinidade geoquímica_x000a_com o ouro (Au) através da digestão por água régia e leitura por ICPOS/ICP-MS" sqref="AY63:AY106 AY9:AY56" xr:uid="{00000000-0002-0000-0100-000033000000}"/>
    <dataValidation allowBlank="1" showInputMessage="1" showErrorMessage="1" promptTitle="CSA17V_C" prompt="Análise química para Carbono total por combustão leitura por infravermelho_x000a_em LECO" sqref="AZ9:AZ56 AZ63:AZ106" xr:uid="{00000000-0002-0000-0100-000034000000}"/>
    <dataValidation allowBlank="1" showInputMessage="1" showErrorMessage="1" promptTitle="GC_CSA17V_C" prompt="Determinação de C em amostras de teor elevado com leitura através da_x000a_queima em forno resistivo " sqref="BA9:BA56 BA63:BA106" xr:uid="{00000000-0002-0000-0100-000035000000}"/>
    <dataValidation allowBlank="1" showInputMessage="1" showErrorMessage="1" promptTitle="CSA03V" prompt="Análise química para Carbono Orgânico convertido em CO2 por_x000a_aquecimento 400ºC e leitura por infravermelho em LECO" sqref="BB9:BB56 BB63:BB106" xr:uid="{00000000-0002-0000-0100-000036000000}"/>
    <dataValidation allowBlank="1" showInputMessage="1" showErrorMessage="1" promptTitle="CSA02V" prompt="Análise química para Carbono Carbonático por decomposição da amostra_x000a_através de digestão ácida e leitura por infravermelho em LECO" sqref="BC9:BC56 BC63:BC106" xr:uid="{00000000-0002-0000-0100-000037000000}"/>
    <dataValidation allowBlank="1" showInputMessage="1" showErrorMessage="1" promptTitle="CSA05V" prompt="Análise química para Carbono Grafítico (ou elementar) por decomposição_x000a_da amostra através de digestão ácida e calcinação em Mufla. O Carbono_x000a_Grafítico é quantifi-cado por combustão e leitura por infravermelho em_x000a_LECO" sqref="BD9:BD56 BD63:BD106" xr:uid="{00000000-0002-0000-0100-000038000000}"/>
    <dataValidation allowBlank="1" showInputMessage="1" showErrorMessage="1" promptTitle="CSA20V" prompt="Caracterização completa carbono em rocha" sqref="BE9:BE56 BE63:BE106" xr:uid="{00000000-0002-0000-0100-000039000000}"/>
    <dataValidation allowBlank="1" showInputMessage="1" showErrorMessage="1" promptTitle="CSA17V_S" prompt="Análise química para Enxofre Total por combustão leitura por infravermelho_x000a_em LECO" sqref="BF9:BF56 BF63:BF106" xr:uid="{00000000-0002-0000-0100-00003A000000}"/>
    <dataValidation allowBlank="1" showInputMessage="1" showErrorMessage="1" promptTitle="GC_CSA17V_S" prompt="Determinação de S em amostras de teor elevado com leitura através da_x000a_queima em forno resistivo" sqref="BG9:BG56 BG63:BG106" xr:uid="{00000000-0002-0000-0100-00003B000000}"/>
    <dataValidation allowBlank="1" showInputMessage="1" showErrorMessage="1" promptTitle="CLA80C" prompt="Análise química para FeO (ferro ferroso) através de digestão ácida e_x000a_titulação com limites de detecção para FeO – Minério de Ferro " sqref="BH9:BH56 BH63:BH106" xr:uid="{00000000-0002-0000-0100-00003C000000}"/>
    <dataValidation allowBlank="1" showInputMessage="1" showErrorMessage="1" promptTitle="CLA70C" prompt="Análise química para FeO (ferro ferroso) através de digestão ácida e_x000a_titulação com limites de detecção para FeO – Material Silicatado *" sqref="BI9:BI56 BI63:BI106" xr:uid="{00000000-0002-0000-0100-00003D000000}"/>
    <dataValidation allowBlank="1" showInputMessage="1" showErrorMessage="1" promptTitle="ISE03A" prompt="para Flúor por decomposição da amostra através de fusão,_x000a_dissolução com solução ácida e determinação do Flúor (F), utilizando_x000a_eletrodo de íon seletivo (ISE)" sqref="BJ9:BJ56 BJ63:BJ106" xr:uid="{00000000-0002-0000-0100-00003E000000}"/>
    <dataValidation allowBlank="1" showInputMessage="1" showErrorMessage="1" promptTitle="XRF75V" prompt="Análise química para cloro (Cl) em pastilhas de pó prensado e leitura por_x000a_Fluorescência de Raios-x" sqref="BK9:BK56 BK63:BK106" xr:uid="{00000000-0002-0000-0100-00003F000000}"/>
    <dataValidation allowBlank="1" showInputMessage="1" showErrorMessage="1" promptTitle="ICM90A_B" prompt="Análise química para boro (B) por decomposição de amostra através de_x000a_fusão, dissolução com solução ácida e leitura por ICP-MS " sqref="BL9:BL56 BL63:BL106" xr:uid="{00000000-0002-0000-0100-000040000000}"/>
    <dataValidation allowBlank="1" showInputMessage="1" showErrorMessage="1" promptTitle="ICP40B" prompt="Análise de minério de Pb / Zn / Cu / Ag por digestão multiácida e leitura_x000a_ICP-OES_sobrelimite altos teores _x000a_" sqref="BM9:BM56 BM63:BM106" xr:uid="{00000000-0002-0000-0100-000041000000}"/>
    <dataValidation allowBlank="1" showInputMessage="1" showErrorMessage="1" promptTitle="ICP40B_S" prompt="Análise de minério de Li por Fusão de Peróxido de Sódio (Na2O2) e leitura_x000a_ICP-OES_Altos teores" sqref="BN9:BN56 BN63:BN106" xr:uid="{00000000-0002-0000-0100-000042000000}"/>
    <dataValidation allowBlank="1" showInputMessage="1" showErrorMessage="1" promptTitle="ICP90A_S" prompt="Análise para determinação de Li por Fusão de Peróxido de Sódio (Na2O2) (sobrelimite) e leitura_x000a_ICP-OES." sqref="BO9:BO56 BO63:BO106" xr:uid="{00000000-0002-0000-0100-000043000000}"/>
    <dataValidation allowBlank="1" showInputMessage="1" showErrorMessage="1" promptTitle="XRF83B" prompt="Análise de amostras sulfetadas por fusão por tetraborato de lítio e leitura_x000a_por Fluorescência de Raios-X e da perda ao fogo (a 1.000ºC) " sqref="BP9:BP56 BP63:BP106" xr:uid="{00000000-0002-0000-0100-000044000000}"/>
    <dataValidation allowBlank="1" showInputMessage="1" showErrorMessage="1" promptTitle="XRF72NL" prompt="Análise de minério de Ni Laterítico por fusão por tetraborato de lítio e leitura_x000a_por Fluorescência de Raios-X e da perda ao fogo (a 1.000ºC)" sqref="BQ9:BQ56 BQ63:BQ106" xr:uid="{00000000-0002-0000-0100-000045000000}"/>
    <dataValidation allowBlank="1" showInputMessage="1" showErrorMessage="1" promptTitle="XRF72BX" prompt="Análise de bauxita por fusão por tetraborato de lítio e leitura por_x000a_Fluorescência de Raios-X e da perda ao fogo (a 1.000ºC)" sqref="BR9:BR56 BR63:BR106" xr:uid="{00000000-0002-0000-0100-000046000000}"/>
    <dataValidation allowBlank="1" showInputMessage="1" showErrorMessage="1" promptTitle="ICP05V" prompt="Análise de sílica reativa e alumina aproveitável. Método Baye" sqref="BS9:BS56 BS63:BS106" xr:uid="{00000000-0002-0000-0100-000047000000}"/>
    <dataValidation allowBlank="1" showInputMessage="1" showErrorMessage="1" promptTitle="ICP90A" prompt="Análise de elementos traços em amostras de projetos de exploração_x000a_regional de Lítio por fusão por peróxido de sódio e leitura com ICP-OES" sqref="BT9:BT56 BT63:BT106" xr:uid="{00000000-0002-0000-0100-000048000000}"/>
    <dataValidation allowBlank="1" showInputMessage="1" showErrorMessage="1" promptTitle="ICM90A" prompt="Análise de elementos ultra traços e terras raras em amostras de projetos de exploração_x000a_regional de Lítio por fusão por peróxido de sódio e leitura com ICP-MS" sqref="BU9:BU56 BU63:BU106" xr:uid="{00000000-0002-0000-0100-000049000000}"/>
    <dataValidation allowBlank="1" showInputMessage="1" showErrorMessage="1" promptTitle="ICM42Q" prompt="Análise química para determinação de elementos traços em quartzo._x000a_Decomposição das amostras através de digestão multi-ácida e leitura ICPMS/ICP-OES" sqref="BV9:BV56 BV63:BV106" xr:uid="{00000000-0002-0000-0100-00004A000000}"/>
    <dataValidation allowBlank="1" showInputMessage="1" showErrorMessage="1" promptTitle="FAA313/FAA323" prompt="Análise química para Au por decomposição de 30g de amostra através de_x000a_fusão, copelação e digestão ácida e leitura de Au por Absorção Atômica" sqref="BW63:BW106 BW9:BW56" xr:uid="{00000000-0002-0000-0100-00004B000000}"/>
    <dataValidation allowBlank="1" showInputMessage="1" showErrorMessage="1" promptTitle="FAAI515" prompt="Análise química para Au, Pt e Pd por decomposição de 50g de amostra_x000a_através de fusão, copelação e digestão ácida e leitura de Au. Pt e Pd por_x000a_leitura ICP-MS" sqref="BX9:BX56 BX63:BX106" xr:uid="{00000000-0002-0000-0100-00004C000000}"/>
    <dataValidation allowBlank="1" showInputMessage="1" showErrorMessage="1" promptTitle="Usar Padrão Manual de Geoquímica" prompt="Número de Campo composto por 4 primeiros números do Centro de Custo do Projeto-Sigla do Coletor-Natureza da Amostra-Número de Campo. EX: 4323-CC-R-0031A" sqref="E8:E13" xr:uid="{00000000-0002-0000-0100-00004D000000}"/>
    <dataValidation allowBlank="1" showInputMessage="1" showErrorMessage="1" promptTitle="Litotipo" prompt="Em caso de ROCHA, preenchimento obrigatório" sqref="F8:F56 F63:F106" xr:uid="{00000000-0002-0000-0100-00004E000000}"/>
    <dataValidation allowBlank="1" showInputMessage="1" showErrorMessage="1" promptTitle="Usar Padrão Manual Geoquimica" prompt="3 letras e 3 números, sem espaço e sem hifen" sqref="H8:H11" xr:uid="{00000000-0002-0000-0100-00004F000000}"/>
  </dataValidations>
  <pageMargins left="0.39370078740157483" right="0.39370078740157483" top="0.15748031496062992" bottom="0.15748031496062992" header="0.51181102362204722" footer="0.51181102362204722"/>
  <pageSetup paperSize="9" scale="25" firstPageNumber="2" fitToHeight="0" orientation="landscape" useFirstPageNumber="1" r:id="rId1"/>
  <headerFooter alignWithMargins="0"/>
  <rowBreaks count="1" manualBreakCount="1">
    <brk id="56" max="78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1673" yWindow="272" count="3">
        <x14:dataValidation type="list" allowBlank="1" showInputMessage="1" showErrorMessage="1" xr:uid="{00000000-0002-0000-0100-000050000000}">
          <x14:formula1>
            <xm:f>Controle!$I$2:$I$11</xm:f>
          </x14:formula1>
          <xm:sqref>I13:I56 I63:I106</xm:sqref>
        </x14:dataValidation>
        <x14:dataValidation type="list" allowBlank="1" showInputMessage="1" showErrorMessage="1" xr:uid="{00000000-0002-0000-0100-000051000000}">
          <x14:formula1>
            <xm:f>Controle!$L$2:$L$9</xm:f>
          </x14:formula1>
          <xm:sqref>BY13:BY56</xm:sqref>
        </x14:dataValidation>
        <x14:dataValidation type="list" allowBlank="1" showInputMessage="1" showErrorMessage="1" xr:uid="{00000000-0002-0000-0100-000052000000}">
          <x14:formula1>
            <xm:f>Controle!$B$2:$B$23</xm:f>
          </x14:formula1>
          <xm:sqref>J13:J56 J63:J106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69"/>
  <sheetViews>
    <sheetView topLeftCell="A106" zoomScaleNormal="100" workbookViewId="0">
      <selection activeCell="E128" sqref="E128"/>
    </sheetView>
  </sheetViews>
  <sheetFormatPr defaultColWidth="8.77734375" defaultRowHeight="13.2" x14ac:dyDescent="0.25"/>
  <cols>
    <col min="1" max="1" width="3" bestFit="1" customWidth="1"/>
    <col min="2" max="2" width="18.21875" bestFit="1" customWidth="1"/>
    <col min="3" max="3" width="3.21875" customWidth="1"/>
    <col min="4" max="4" width="4.33203125" bestFit="1" customWidth="1"/>
    <col min="5" max="5" width="18.33203125" bestFit="1" customWidth="1"/>
    <col min="6" max="6" width="58.5546875" bestFit="1" customWidth="1"/>
    <col min="7" max="8" width="2.77734375" customWidth="1"/>
    <col min="9" max="9" width="18.77734375" bestFit="1" customWidth="1"/>
    <col min="10" max="10" width="2.44140625" customWidth="1"/>
    <col min="11" max="11" width="2.77734375" customWidth="1"/>
    <col min="12" max="12" width="11.33203125" bestFit="1" customWidth="1"/>
    <col min="13" max="13" width="2.21875" customWidth="1"/>
    <col min="14" max="14" width="4" bestFit="1" customWidth="1"/>
    <col min="15" max="15" width="29" bestFit="1" customWidth="1"/>
    <col min="16" max="16" width="2.77734375" customWidth="1"/>
    <col min="17" max="17" width="4" bestFit="1" customWidth="1"/>
    <col min="18" max="18" width="72.21875" bestFit="1" customWidth="1"/>
    <col min="19" max="19" width="28.109375" bestFit="1" customWidth="1"/>
    <col min="20" max="20" width="72.77734375" bestFit="1" customWidth="1"/>
    <col min="21" max="21" width="25.77734375" bestFit="1" customWidth="1"/>
    <col min="22" max="22" width="35.109375" bestFit="1" customWidth="1"/>
    <col min="23" max="23" width="29.109375" bestFit="1" customWidth="1"/>
    <col min="24" max="24" width="24.21875" bestFit="1" customWidth="1"/>
    <col min="25" max="25" width="12.44140625" customWidth="1"/>
    <col min="26" max="26" width="29" bestFit="1" customWidth="1"/>
    <col min="27" max="27" width="76" bestFit="1" customWidth="1"/>
    <col min="28" max="28" width="74.5546875" bestFit="1" customWidth="1"/>
    <col min="29" max="29" width="11.44140625" customWidth="1"/>
    <col min="30" max="30" width="14" customWidth="1"/>
    <col min="31" max="31" width="22.21875" bestFit="1" customWidth="1"/>
    <col min="32" max="53" width="8.77734375" hidden="1" customWidth="1"/>
    <col min="54" max="54" width="26.77734375" customWidth="1"/>
    <col min="55" max="55" width="19.21875" customWidth="1"/>
  </cols>
  <sheetData>
    <row r="1" spans="1:24" x14ac:dyDescent="0.25">
      <c r="A1" s="92" t="s">
        <v>726</v>
      </c>
      <c r="B1" s="92" t="s">
        <v>548</v>
      </c>
      <c r="C1" s="9"/>
      <c r="D1" s="96" t="s">
        <v>726</v>
      </c>
      <c r="E1" s="96" t="s">
        <v>549</v>
      </c>
      <c r="F1" s="9" t="s">
        <v>550</v>
      </c>
      <c r="G1" s="9"/>
      <c r="H1" s="99" t="s">
        <v>726</v>
      </c>
      <c r="I1" s="99" t="s">
        <v>566</v>
      </c>
      <c r="J1" s="9"/>
      <c r="K1" s="98" t="s">
        <v>726</v>
      </c>
      <c r="L1" s="98" t="s">
        <v>567</v>
      </c>
      <c r="M1" s="9"/>
      <c r="N1" s="97" t="s">
        <v>726</v>
      </c>
      <c r="O1" s="97" t="s">
        <v>551</v>
      </c>
      <c r="Q1" s="327" t="s">
        <v>554</v>
      </c>
      <c r="R1" s="328"/>
      <c r="S1" s="328"/>
      <c r="T1" s="328"/>
      <c r="U1" s="328"/>
      <c r="V1" s="328"/>
      <c r="W1" s="329"/>
      <c r="X1" s="95"/>
    </row>
    <row r="2" spans="1:24" ht="13.8" x14ac:dyDescent="0.25">
      <c r="A2">
        <v>1</v>
      </c>
      <c r="B2" s="39" t="s">
        <v>36</v>
      </c>
      <c r="C2" s="39"/>
      <c r="D2" s="39">
        <v>1</v>
      </c>
      <c r="E2" s="41" t="s">
        <v>245</v>
      </c>
      <c r="F2" s="41" t="s">
        <v>246</v>
      </c>
      <c r="G2" s="41"/>
      <c r="H2" s="41">
        <v>1</v>
      </c>
      <c r="I2" s="41" t="s">
        <v>561</v>
      </c>
      <c r="J2" s="41"/>
      <c r="K2" s="41">
        <v>1</v>
      </c>
      <c r="L2" s="41" t="s">
        <v>514</v>
      </c>
      <c r="M2" s="41"/>
      <c r="N2" s="41">
        <v>1</v>
      </c>
      <c r="O2" s="9" t="s">
        <v>78</v>
      </c>
      <c r="Q2" s="94" t="s">
        <v>726</v>
      </c>
      <c r="R2" s="94" t="s">
        <v>556</v>
      </c>
      <c r="S2" s="94" t="s">
        <v>555</v>
      </c>
      <c r="T2" s="94" t="s">
        <v>451</v>
      </c>
      <c r="U2" s="94" t="s">
        <v>450</v>
      </c>
      <c r="V2" s="94" t="s">
        <v>478</v>
      </c>
      <c r="W2" s="94" t="s">
        <v>479</v>
      </c>
    </row>
    <row r="3" spans="1:24" ht="13.8" x14ac:dyDescent="0.25">
      <c r="A3">
        <v>2</v>
      </c>
      <c r="B3" s="39" t="s">
        <v>53</v>
      </c>
      <c r="C3" s="39"/>
      <c r="D3" s="39">
        <v>4</v>
      </c>
      <c r="E3" s="41" t="s">
        <v>248</v>
      </c>
      <c r="F3" s="41" t="s">
        <v>247</v>
      </c>
      <c r="G3" s="41"/>
      <c r="H3" s="41">
        <v>2</v>
      </c>
      <c r="I3" s="41" t="s">
        <v>563</v>
      </c>
      <c r="J3" s="41"/>
      <c r="K3" s="41">
        <v>2</v>
      </c>
      <c r="L3" s="41" t="s">
        <v>515</v>
      </c>
      <c r="M3" s="41"/>
      <c r="N3" s="41">
        <v>2</v>
      </c>
      <c r="O3" s="9" t="s">
        <v>79</v>
      </c>
      <c r="Q3" s="41">
        <v>1</v>
      </c>
      <c r="R3" t="s">
        <v>754</v>
      </c>
      <c r="S3" t="s">
        <v>552</v>
      </c>
      <c r="T3" t="s">
        <v>485</v>
      </c>
      <c r="U3" t="s">
        <v>447</v>
      </c>
      <c r="V3" t="s">
        <v>462</v>
      </c>
      <c r="W3" t="s">
        <v>469</v>
      </c>
    </row>
    <row r="4" spans="1:24" ht="13.8" x14ac:dyDescent="0.25">
      <c r="A4">
        <v>3</v>
      </c>
      <c r="B4" s="39" t="s">
        <v>38</v>
      </c>
      <c r="C4" s="39"/>
      <c r="D4" s="39">
        <v>5</v>
      </c>
      <c r="E4" s="41" t="s">
        <v>249</v>
      </c>
      <c r="F4" s="41" t="s">
        <v>247</v>
      </c>
      <c r="G4" s="41"/>
      <c r="H4" s="41">
        <v>3</v>
      </c>
      <c r="I4" s="41" t="s">
        <v>562</v>
      </c>
      <c r="J4" s="41"/>
      <c r="K4" s="41">
        <v>3</v>
      </c>
      <c r="L4" s="41" t="s">
        <v>516</v>
      </c>
      <c r="M4" s="41"/>
      <c r="N4" s="41">
        <v>3</v>
      </c>
      <c r="O4" s="9" t="s">
        <v>80</v>
      </c>
      <c r="Q4" s="41">
        <v>2</v>
      </c>
      <c r="R4" t="s">
        <v>697</v>
      </c>
      <c r="S4" t="s">
        <v>509</v>
      </c>
      <c r="T4" t="s">
        <v>491</v>
      </c>
      <c r="U4" t="s">
        <v>446</v>
      </c>
      <c r="V4" t="s">
        <v>460</v>
      </c>
      <c r="W4" t="s">
        <v>472</v>
      </c>
    </row>
    <row r="5" spans="1:24" ht="13.8" x14ac:dyDescent="0.25">
      <c r="A5">
        <v>4</v>
      </c>
      <c r="B5" s="39" t="s">
        <v>37</v>
      </c>
      <c r="C5" s="39"/>
      <c r="D5" s="39">
        <v>6</v>
      </c>
      <c r="E5" s="41" t="s">
        <v>250</v>
      </c>
      <c r="F5" s="41" t="s">
        <v>247</v>
      </c>
      <c r="G5" s="41"/>
      <c r="H5" s="41">
        <v>4</v>
      </c>
      <c r="I5" s="41" t="s">
        <v>558</v>
      </c>
      <c r="J5" s="41"/>
      <c r="K5" s="41">
        <v>4</v>
      </c>
      <c r="L5" s="41" t="s">
        <v>517</v>
      </c>
      <c r="M5" s="41"/>
      <c r="N5" s="41">
        <v>4</v>
      </c>
      <c r="O5" s="9" t="s">
        <v>81</v>
      </c>
      <c r="Q5" s="41">
        <v>3</v>
      </c>
      <c r="R5" t="s">
        <v>685</v>
      </c>
      <c r="S5" t="s">
        <v>500</v>
      </c>
      <c r="T5" t="s">
        <v>769</v>
      </c>
      <c r="U5" t="s">
        <v>703</v>
      </c>
      <c r="V5" t="s">
        <v>770</v>
      </c>
      <c r="W5" t="s">
        <v>466</v>
      </c>
    </row>
    <row r="6" spans="1:24" ht="13.8" x14ac:dyDescent="0.25">
      <c r="A6">
        <v>5</v>
      </c>
      <c r="B6" s="39" t="s">
        <v>597</v>
      </c>
      <c r="C6" s="39"/>
      <c r="D6" s="39">
        <v>7</v>
      </c>
      <c r="E6" s="41" t="s">
        <v>251</v>
      </c>
      <c r="F6" s="41" t="s">
        <v>247</v>
      </c>
      <c r="G6" s="41"/>
      <c r="H6" s="41">
        <v>5</v>
      </c>
      <c r="I6" s="41" t="s">
        <v>557</v>
      </c>
      <c r="J6" s="41"/>
      <c r="K6" s="41">
        <v>5</v>
      </c>
      <c r="L6" s="41" t="s">
        <v>518</v>
      </c>
      <c r="M6" s="41"/>
      <c r="N6" s="41">
        <v>5</v>
      </c>
      <c r="O6" s="9" t="s">
        <v>82</v>
      </c>
      <c r="Q6" s="41">
        <v>4</v>
      </c>
      <c r="R6" t="s">
        <v>686</v>
      </c>
      <c r="S6" t="s">
        <v>501</v>
      </c>
      <c r="T6" t="s">
        <v>490</v>
      </c>
      <c r="U6" t="s">
        <v>441</v>
      </c>
      <c r="V6" t="s">
        <v>458</v>
      </c>
      <c r="W6" t="s">
        <v>476</v>
      </c>
    </row>
    <row r="7" spans="1:24" ht="13.8" x14ac:dyDescent="0.25">
      <c r="A7">
        <v>6</v>
      </c>
      <c r="B7" s="39" t="s">
        <v>39</v>
      </c>
      <c r="C7" s="39"/>
      <c r="D7" s="39">
        <v>8</v>
      </c>
      <c r="E7" s="41" t="s">
        <v>252</v>
      </c>
      <c r="F7" s="41" t="s">
        <v>253</v>
      </c>
      <c r="G7" s="41"/>
      <c r="H7" s="41">
        <v>6</v>
      </c>
      <c r="I7" s="41" t="s">
        <v>560</v>
      </c>
      <c r="J7" s="41"/>
      <c r="K7" s="41">
        <v>6</v>
      </c>
      <c r="L7" s="41" t="s">
        <v>519</v>
      </c>
      <c r="M7" s="41"/>
      <c r="N7" s="41">
        <v>6</v>
      </c>
      <c r="O7" s="9" t="s">
        <v>83</v>
      </c>
      <c r="Q7" s="41">
        <v>5</v>
      </c>
      <c r="R7" t="s">
        <v>687</v>
      </c>
      <c r="S7" t="s">
        <v>504</v>
      </c>
      <c r="T7" t="s">
        <v>488</v>
      </c>
      <c r="U7" t="s">
        <v>442</v>
      </c>
      <c r="V7" t="s">
        <v>455</v>
      </c>
      <c r="W7" t="s">
        <v>473</v>
      </c>
    </row>
    <row r="8" spans="1:24" ht="13.8" x14ac:dyDescent="0.25">
      <c r="A8">
        <v>7</v>
      </c>
      <c r="B8" s="39" t="s">
        <v>40</v>
      </c>
      <c r="C8" s="39"/>
      <c r="D8" s="39">
        <v>9</v>
      </c>
      <c r="E8" s="41" t="s">
        <v>254</v>
      </c>
      <c r="F8" s="41" t="s">
        <v>255</v>
      </c>
      <c r="G8" s="41"/>
      <c r="H8" s="41">
        <v>7</v>
      </c>
      <c r="I8" s="41" t="s">
        <v>559</v>
      </c>
      <c r="J8" s="41"/>
      <c r="K8" s="41">
        <v>7</v>
      </c>
      <c r="L8" s="41" t="s">
        <v>520</v>
      </c>
      <c r="M8" s="41"/>
      <c r="N8" s="41">
        <v>7</v>
      </c>
      <c r="O8" s="9" t="s">
        <v>84</v>
      </c>
      <c r="Q8" s="41">
        <v>6</v>
      </c>
      <c r="R8" t="s">
        <v>688</v>
      </c>
      <c r="S8" t="s">
        <v>553</v>
      </c>
      <c r="T8" t="s">
        <v>492</v>
      </c>
      <c r="U8" t="s">
        <v>449</v>
      </c>
      <c r="V8" s="9" t="s">
        <v>580</v>
      </c>
      <c r="W8" t="s">
        <v>477</v>
      </c>
    </row>
    <row r="9" spans="1:24" ht="13.8" x14ac:dyDescent="0.25">
      <c r="A9">
        <v>8</v>
      </c>
      <c r="B9" s="39" t="s">
        <v>41</v>
      </c>
      <c r="C9" s="39"/>
      <c r="D9" s="39">
        <v>10</v>
      </c>
      <c r="E9" s="41" t="s">
        <v>256</v>
      </c>
      <c r="F9" s="41" t="s">
        <v>257</v>
      </c>
      <c r="G9" s="41"/>
      <c r="H9" s="41">
        <v>8</v>
      </c>
      <c r="I9" s="41" t="s">
        <v>564</v>
      </c>
      <c r="J9" s="41"/>
      <c r="K9" s="41">
        <v>8</v>
      </c>
      <c r="L9" s="41" t="s">
        <v>521</v>
      </c>
      <c r="M9" s="41"/>
      <c r="N9" s="41">
        <v>8</v>
      </c>
      <c r="O9" s="9" t="s">
        <v>85</v>
      </c>
      <c r="Q9" s="41">
        <v>7</v>
      </c>
      <c r="R9" t="s">
        <v>696</v>
      </c>
      <c r="S9" t="s">
        <v>503</v>
      </c>
      <c r="T9" t="s">
        <v>481</v>
      </c>
      <c r="U9" t="s">
        <v>439</v>
      </c>
      <c r="V9" t="s">
        <v>453</v>
      </c>
      <c r="W9" t="s">
        <v>465</v>
      </c>
    </row>
    <row r="10" spans="1:24" ht="14.25" customHeight="1" x14ac:dyDescent="0.25">
      <c r="A10">
        <v>9</v>
      </c>
      <c r="B10" s="39" t="s">
        <v>42</v>
      </c>
      <c r="C10" s="39"/>
      <c r="D10" s="39">
        <v>11</v>
      </c>
      <c r="E10" s="41" t="s">
        <v>258</v>
      </c>
      <c r="F10" s="41" t="s">
        <v>259</v>
      </c>
      <c r="G10" s="41"/>
      <c r="H10" s="41">
        <v>9</v>
      </c>
      <c r="I10" s="41" t="s">
        <v>565</v>
      </c>
      <c r="J10" s="41"/>
      <c r="K10" s="41"/>
      <c r="L10" s="41"/>
      <c r="M10" s="41"/>
      <c r="N10" s="41">
        <v>9</v>
      </c>
      <c r="O10" s="9" t="s">
        <v>86</v>
      </c>
      <c r="Q10" s="41">
        <v>8</v>
      </c>
      <c r="R10" t="s">
        <v>689</v>
      </c>
      <c r="S10" t="s">
        <v>506</v>
      </c>
      <c r="T10" t="s">
        <v>487</v>
      </c>
      <c r="U10" t="s">
        <v>76</v>
      </c>
      <c r="V10" t="s">
        <v>463</v>
      </c>
      <c r="W10" t="s">
        <v>471</v>
      </c>
    </row>
    <row r="11" spans="1:24" ht="14.25" customHeight="1" x14ac:dyDescent="0.25">
      <c r="A11">
        <v>10</v>
      </c>
      <c r="B11" s="39" t="s">
        <v>43</v>
      </c>
      <c r="C11" s="39"/>
      <c r="D11" s="39">
        <v>12</v>
      </c>
      <c r="E11" s="41" t="s">
        <v>260</v>
      </c>
      <c r="F11" s="41" t="s">
        <v>261</v>
      </c>
      <c r="G11" s="41"/>
      <c r="H11" s="41">
        <v>10</v>
      </c>
      <c r="I11" s="41" t="s">
        <v>47</v>
      </c>
      <c r="J11" s="41"/>
      <c r="K11" s="41"/>
      <c r="L11" s="41"/>
      <c r="M11" s="41"/>
      <c r="N11" s="41">
        <v>10</v>
      </c>
      <c r="O11" s="10" t="s">
        <v>87</v>
      </c>
      <c r="Q11" s="41">
        <v>9</v>
      </c>
      <c r="R11" t="s">
        <v>690</v>
      </c>
      <c r="S11" t="s">
        <v>505</v>
      </c>
      <c r="T11" t="s">
        <v>486</v>
      </c>
      <c r="U11" t="s">
        <v>444</v>
      </c>
      <c r="V11" t="s">
        <v>456</v>
      </c>
      <c r="W11" t="s">
        <v>470</v>
      </c>
    </row>
    <row r="12" spans="1:24" ht="14.25" customHeight="1" x14ac:dyDescent="0.25">
      <c r="A12">
        <v>11</v>
      </c>
      <c r="B12" s="39" t="s">
        <v>44</v>
      </c>
      <c r="C12" s="39"/>
      <c r="D12" s="39">
        <v>13</v>
      </c>
      <c r="E12" s="41" t="s">
        <v>262</v>
      </c>
      <c r="F12" s="41" t="s">
        <v>657</v>
      </c>
      <c r="G12" s="41"/>
      <c r="H12" s="41"/>
      <c r="I12" s="41"/>
      <c r="J12" s="41"/>
      <c r="K12" s="41"/>
      <c r="L12" s="41"/>
      <c r="M12" s="41"/>
      <c r="N12" s="41">
        <v>11</v>
      </c>
      <c r="O12" s="9" t="s">
        <v>88</v>
      </c>
      <c r="Q12" s="41">
        <v>10</v>
      </c>
      <c r="R12" t="s">
        <v>691</v>
      </c>
      <c r="S12" t="s">
        <v>499</v>
      </c>
      <c r="T12" t="s">
        <v>482</v>
      </c>
      <c r="U12" t="s">
        <v>448</v>
      </c>
      <c r="V12" t="s">
        <v>459</v>
      </c>
      <c r="W12" t="s">
        <v>475</v>
      </c>
    </row>
    <row r="13" spans="1:24" ht="14.25" customHeight="1" x14ac:dyDescent="0.25">
      <c r="A13">
        <v>12</v>
      </c>
      <c r="B13" s="39" t="s">
        <v>45</v>
      </c>
      <c r="C13" s="39"/>
      <c r="D13" s="39">
        <v>14</v>
      </c>
      <c r="E13" s="41" t="s">
        <v>263</v>
      </c>
      <c r="F13" s="41" t="s">
        <v>264</v>
      </c>
      <c r="G13" s="41"/>
      <c r="H13" s="41"/>
      <c r="I13" s="41"/>
      <c r="J13" s="41"/>
      <c r="K13" s="41"/>
      <c r="L13" s="41"/>
      <c r="M13" s="41"/>
      <c r="N13" s="41">
        <v>12</v>
      </c>
      <c r="O13" s="9" t="s">
        <v>89</v>
      </c>
      <c r="Q13" s="41">
        <v>11</v>
      </c>
      <c r="R13" t="s">
        <v>692</v>
      </c>
      <c r="S13" t="s">
        <v>543</v>
      </c>
      <c r="T13" t="s">
        <v>483</v>
      </c>
      <c r="U13" t="s">
        <v>445</v>
      </c>
      <c r="V13" t="s">
        <v>461</v>
      </c>
      <c r="W13" t="s">
        <v>467</v>
      </c>
    </row>
    <row r="14" spans="1:24" ht="14.25" customHeight="1" x14ac:dyDescent="0.25">
      <c r="A14">
        <v>13</v>
      </c>
      <c r="B14" s="39" t="s">
        <v>602</v>
      </c>
      <c r="C14" s="39"/>
      <c r="D14" s="39">
        <v>15</v>
      </c>
      <c r="E14" s="41" t="s">
        <v>265</v>
      </c>
      <c r="F14" s="41" t="s">
        <v>266</v>
      </c>
      <c r="G14" s="41"/>
      <c r="H14" s="41"/>
      <c r="I14" s="41"/>
      <c r="J14" s="41"/>
      <c r="K14" s="41"/>
      <c r="L14" s="41"/>
      <c r="M14" s="41"/>
      <c r="N14" s="41">
        <v>13</v>
      </c>
      <c r="O14" s="9" t="s">
        <v>90</v>
      </c>
      <c r="Q14" s="41">
        <v>12</v>
      </c>
      <c r="R14" t="s">
        <v>693</v>
      </c>
      <c r="S14" t="s">
        <v>507</v>
      </c>
      <c r="T14" t="s">
        <v>480</v>
      </c>
      <c r="U14" t="s">
        <v>438</v>
      </c>
      <c r="V14" t="s">
        <v>452</v>
      </c>
      <c r="W14" t="s">
        <v>464</v>
      </c>
    </row>
    <row r="15" spans="1:24" ht="13.5" customHeight="1" x14ac:dyDescent="0.25">
      <c r="A15">
        <v>14</v>
      </c>
      <c r="B15" s="39" t="s">
        <v>603</v>
      </c>
      <c r="C15" s="39"/>
      <c r="D15" s="39">
        <v>16</v>
      </c>
      <c r="E15" s="41" t="s">
        <v>267</v>
      </c>
      <c r="F15" s="41" t="s">
        <v>268</v>
      </c>
      <c r="G15" s="41"/>
      <c r="H15" s="41"/>
      <c r="I15" s="41"/>
      <c r="J15" s="41"/>
      <c r="K15" s="41"/>
      <c r="L15" s="41"/>
      <c r="M15" s="41"/>
      <c r="N15" s="41">
        <v>14</v>
      </c>
      <c r="O15" s="10" t="s">
        <v>91</v>
      </c>
      <c r="Q15" s="41">
        <v>13</v>
      </c>
      <c r="R15" t="s">
        <v>694</v>
      </c>
      <c r="S15" t="s">
        <v>502</v>
      </c>
      <c r="T15" t="s">
        <v>484</v>
      </c>
      <c r="U15" t="s">
        <v>443</v>
      </c>
      <c r="V15" t="s">
        <v>457</v>
      </c>
      <c r="W15" t="s">
        <v>468</v>
      </c>
    </row>
    <row r="16" spans="1:24" ht="15" customHeight="1" x14ac:dyDescent="0.25">
      <c r="A16">
        <v>15</v>
      </c>
      <c r="B16" s="39" t="s">
        <v>52</v>
      </c>
      <c r="C16" s="39"/>
      <c r="D16" s="39">
        <v>17</v>
      </c>
      <c r="E16" s="41" t="s">
        <v>269</v>
      </c>
      <c r="F16" s="41" t="s">
        <v>270</v>
      </c>
      <c r="G16" s="41"/>
      <c r="H16" s="41"/>
      <c r="I16" s="41"/>
      <c r="J16" s="41"/>
      <c r="K16" s="41"/>
      <c r="L16" s="41"/>
      <c r="M16" s="41"/>
      <c r="N16" s="41">
        <v>15</v>
      </c>
      <c r="O16" s="9" t="s">
        <v>92</v>
      </c>
      <c r="Q16" s="41">
        <v>14</v>
      </c>
      <c r="R16" t="s">
        <v>695</v>
      </c>
      <c r="S16" t="s">
        <v>508</v>
      </c>
      <c r="T16" t="s">
        <v>489</v>
      </c>
      <c r="U16" t="s">
        <v>440</v>
      </c>
      <c r="V16" t="s">
        <v>454</v>
      </c>
      <c r="W16" t="s">
        <v>474</v>
      </c>
    </row>
    <row r="17" spans="1:23" ht="13.8" x14ac:dyDescent="0.25">
      <c r="A17">
        <v>16</v>
      </c>
      <c r="B17" s="39" t="s">
        <v>51</v>
      </c>
      <c r="C17" s="39"/>
      <c r="D17" s="39">
        <v>18</v>
      </c>
      <c r="E17" s="41" t="s">
        <v>271</v>
      </c>
      <c r="F17" s="41" t="s">
        <v>272</v>
      </c>
      <c r="G17" s="41"/>
      <c r="H17" s="41"/>
      <c r="I17" s="41"/>
      <c r="J17" s="41"/>
      <c r="K17" s="41"/>
      <c r="L17" s="41"/>
      <c r="M17" s="41"/>
      <c r="N17" s="41">
        <v>16</v>
      </c>
      <c r="O17" s="9" t="s">
        <v>93</v>
      </c>
      <c r="Q17" s="41"/>
    </row>
    <row r="18" spans="1:23" ht="13.8" x14ac:dyDescent="0.25">
      <c r="A18">
        <v>17</v>
      </c>
      <c r="B18" s="39" t="s">
        <v>49</v>
      </c>
      <c r="C18" s="39"/>
      <c r="D18" s="39">
        <v>19</v>
      </c>
      <c r="E18" s="41" t="s">
        <v>273</v>
      </c>
      <c r="F18" s="41" t="s">
        <v>274</v>
      </c>
      <c r="G18" s="41"/>
      <c r="H18" s="41"/>
      <c r="I18" s="41"/>
      <c r="J18" s="41"/>
      <c r="K18" s="41"/>
      <c r="L18" s="41"/>
      <c r="M18" s="41"/>
      <c r="N18" s="41">
        <v>17</v>
      </c>
      <c r="O18" s="9" t="s">
        <v>94</v>
      </c>
      <c r="Q18" s="330" t="s">
        <v>547</v>
      </c>
      <c r="R18" s="331"/>
      <c r="S18" s="331"/>
      <c r="T18" s="331"/>
      <c r="U18" s="331"/>
      <c r="V18" s="331"/>
      <c r="W18" s="331"/>
    </row>
    <row r="19" spans="1:23" ht="13.8" x14ac:dyDescent="0.25">
      <c r="A19">
        <v>18</v>
      </c>
      <c r="B19" s="39" t="s">
        <v>66</v>
      </c>
      <c r="C19" s="39"/>
      <c r="D19" s="39">
        <v>20</v>
      </c>
      <c r="E19" s="41" t="s">
        <v>275</v>
      </c>
      <c r="F19" s="41" t="s">
        <v>276</v>
      </c>
      <c r="G19" s="41"/>
      <c r="H19" s="41"/>
      <c r="I19" s="41"/>
      <c r="J19" s="41"/>
      <c r="K19" s="41"/>
      <c r="L19" s="41"/>
      <c r="M19" s="41"/>
      <c r="N19" s="41">
        <v>18</v>
      </c>
      <c r="O19" s="9" t="s">
        <v>95</v>
      </c>
      <c r="Q19" s="94" t="s">
        <v>726</v>
      </c>
      <c r="R19" s="93" t="s">
        <v>555</v>
      </c>
      <c r="S19" s="94" t="s">
        <v>556</v>
      </c>
      <c r="T19" s="93" t="s">
        <v>568</v>
      </c>
      <c r="U19" s="119" t="s">
        <v>498</v>
      </c>
      <c r="V19" s="119" t="s">
        <v>749</v>
      </c>
      <c r="W19" s="119" t="s">
        <v>750</v>
      </c>
    </row>
    <row r="20" spans="1:23" ht="13.8" x14ac:dyDescent="0.25">
      <c r="A20">
        <v>19</v>
      </c>
      <c r="B20" s="39" t="s">
        <v>50</v>
      </c>
      <c r="C20" s="39"/>
      <c r="D20" s="39">
        <v>21</v>
      </c>
      <c r="E20" s="41" t="s">
        <v>277</v>
      </c>
      <c r="F20" s="41" t="s">
        <v>278</v>
      </c>
      <c r="G20" s="41"/>
      <c r="H20" s="41"/>
      <c r="I20" s="41"/>
      <c r="J20" s="41"/>
      <c r="K20" s="41"/>
      <c r="L20" s="41"/>
      <c r="M20" s="41"/>
      <c r="N20" s="41">
        <v>19</v>
      </c>
      <c r="O20" s="9" t="s">
        <v>96</v>
      </c>
      <c r="Q20" s="41">
        <v>1</v>
      </c>
      <c r="R20" s="91" t="s">
        <v>34</v>
      </c>
      <c r="S20" s="40" t="s">
        <v>660</v>
      </c>
      <c r="T20" t="s">
        <v>693</v>
      </c>
      <c r="U20" s="91" t="s">
        <v>239</v>
      </c>
      <c r="V20" t="s">
        <v>751</v>
      </c>
      <c r="W20" t="s">
        <v>752</v>
      </c>
    </row>
    <row r="21" spans="1:23" ht="13.8" x14ac:dyDescent="0.25">
      <c r="A21">
        <v>20</v>
      </c>
      <c r="B21" s="39" t="s">
        <v>46</v>
      </c>
      <c r="C21" s="39"/>
      <c r="D21" s="39">
        <v>22</v>
      </c>
      <c r="E21" s="41" t="s">
        <v>279</v>
      </c>
      <c r="F21" s="41" t="s">
        <v>280</v>
      </c>
      <c r="G21" s="41"/>
      <c r="H21" s="41"/>
      <c r="I21" s="41"/>
      <c r="J21" s="41"/>
      <c r="K21" s="41"/>
      <c r="L21" s="41"/>
      <c r="M21" s="41"/>
      <c r="N21" s="41">
        <v>20</v>
      </c>
      <c r="O21" s="9" t="s">
        <v>97</v>
      </c>
      <c r="Q21" s="41">
        <v>2</v>
      </c>
      <c r="R21" t="s">
        <v>434</v>
      </c>
      <c r="S21" s="40" t="s">
        <v>661</v>
      </c>
      <c r="T21" t="s">
        <v>685</v>
      </c>
      <c r="U21" s="9" t="s">
        <v>239</v>
      </c>
      <c r="V21" t="s">
        <v>751</v>
      </c>
      <c r="W21" t="s">
        <v>752</v>
      </c>
    </row>
    <row r="22" spans="1:23" ht="13.8" x14ac:dyDescent="0.25">
      <c r="A22">
        <v>21</v>
      </c>
      <c r="B22" s="39" t="s">
        <v>48</v>
      </c>
      <c r="C22" s="39"/>
      <c r="D22" s="39">
        <v>23</v>
      </c>
      <c r="E22" s="41" t="s">
        <v>281</v>
      </c>
      <c r="F22" s="41" t="s">
        <v>282</v>
      </c>
      <c r="G22" s="41"/>
      <c r="H22" s="41"/>
      <c r="I22" s="41"/>
      <c r="J22" s="41"/>
      <c r="K22" s="41"/>
      <c r="L22" s="41"/>
      <c r="M22" s="41"/>
      <c r="N22" s="41">
        <v>21</v>
      </c>
      <c r="O22" s="9" t="s">
        <v>98</v>
      </c>
      <c r="Q22" s="41">
        <v>3</v>
      </c>
      <c r="R22" t="s">
        <v>35</v>
      </c>
      <c r="S22" s="40" t="s">
        <v>662</v>
      </c>
      <c r="T22" t="s">
        <v>694</v>
      </c>
      <c r="U22" s="9" t="s">
        <v>239</v>
      </c>
      <c r="V22" t="s">
        <v>751</v>
      </c>
      <c r="W22" t="s">
        <v>752</v>
      </c>
    </row>
    <row r="23" spans="1:23" ht="13.8" x14ac:dyDescent="0.25">
      <c r="A23">
        <v>22</v>
      </c>
      <c r="B23" s="39" t="s">
        <v>47</v>
      </c>
      <c r="C23" s="39"/>
      <c r="D23" s="39">
        <v>24</v>
      </c>
      <c r="E23" s="41" t="s">
        <v>283</v>
      </c>
      <c r="F23" s="41" t="s">
        <v>284</v>
      </c>
      <c r="G23" s="41"/>
      <c r="H23" s="41"/>
      <c r="I23" s="41"/>
      <c r="J23" s="41"/>
      <c r="K23" s="41"/>
      <c r="L23" s="41"/>
      <c r="M23" s="41"/>
      <c r="N23" s="41">
        <v>22</v>
      </c>
      <c r="O23" s="9" t="s">
        <v>99</v>
      </c>
      <c r="Q23" s="41">
        <v>4</v>
      </c>
      <c r="R23" t="s">
        <v>756</v>
      </c>
      <c r="S23" s="40" t="s">
        <v>757</v>
      </c>
      <c r="T23" t="s">
        <v>696</v>
      </c>
      <c r="U23" s="9" t="s">
        <v>239</v>
      </c>
      <c r="V23" t="s">
        <v>751</v>
      </c>
      <c r="W23" t="s">
        <v>752</v>
      </c>
    </row>
    <row r="24" spans="1:23" ht="13.8" x14ac:dyDescent="0.25">
      <c r="B24" s="39"/>
      <c r="C24" s="39"/>
      <c r="D24" s="39">
        <v>25</v>
      </c>
      <c r="E24" s="41" t="s">
        <v>285</v>
      </c>
      <c r="F24" s="41" t="s">
        <v>286</v>
      </c>
      <c r="G24" s="41"/>
      <c r="H24" s="41"/>
      <c r="I24" s="41"/>
      <c r="J24" s="41"/>
      <c r="K24" s="41"/>
      <c r="L24" s="41"/>
      <c r="M24" s="41"/>
      <c r="N24" s="41">
        <v>23</v>
      </c>
      <c r="O24" s="11" t="s">
        <v>100</v>
      </c>
      <c r="Q24" s="41">
        <v>5</v>
      </c>
      <c r="R24" t="s">
        <v>32</v>
      </c>
      <c r="S24" s="40" t="s">
        <v>663</v>
      </c>
      <c r="T24" t="s">
        <v>690</v>
      </c>
      <c r="U24" s="9" t="s">
        <v>239</v>
      </c>
      <c r="V24" t="s">
        <v>751</v>
      </c>
      <c r="W24" t="s">
        <v>752</v>
      </c>
    </row>
    <row r="25" spans="1:23" ht="13.8" x14ac:dyDescent="0.25">
      <c r="B25" s="39"/>
      <c r="C25" s="39"/>
      <c r="D25" s="39">
        <v>26</v>
      </c>
      <c r="E25" s="41" t="s">
        <v>287</v>
      </c>
      <c r="F25" s="41" t="s">
        <v>288</v>
      </c>
      <c r="G25" s="41"/>
      <c r="H25" s="41"/>
      <c r="I25" s="41"/>
      <c r="J25" s="41"/>
      <c r="K25" s="41"/>
      <c r="L25" s="41"/>
      <c r="M25" s="41"/>
      <c r="N25" s="41">
        <v>24</v>
      </c>
      <c r="O25" s="11" t="s">
        <v>101</v>
      </c>
      <c r="Q25" s="41">
        <v>6</v>
      </c>
      <c r="R25" t="s">
        <v>64</v>
      </c>
      <c r="S25" s="40" t="s">
        <v>664</v>
      </c>
      <c r="T25" t="s">
        <v>689</v>
      </c>
      <c r="U25" s="9" t="s">
        <v>239</v>
      </c>
      <c r="V25" t="s">
        <v>751</v>
      </c>
      <c r="W25" t="s">
        <v>752</v>
      </c>
    </row>
    <row r="26" spans="1:23" ht="13.8" x14ac:dyDescent="0.25">
      <c r="B26" s="39"/>
      <c r="C26" s="39"/>
      <c r="D26" s="39">
        <v>27</v>
      </c>
      <c r="E26" s="41" t="s">
        <v>741</v>
      </c>
      <c r="F26" s="41" t="s">
        <v>429</v>
      </c>
      <c r="G26" s="41"/>
      <c r="H26" s="41"/>
      <c r="I26" s="41"/>
      <c r="J26" s="41"/>
      <c r="K26" s="41"/>
      <c r="L26" s="41"/>
      <c r="M26" s="41"/>
      <c r="N26" s="41">
        <v>25</v>
      </c>
      <c r="O26" s="11" t="s">
        <v>102</v>
      </c>
      <c r="Q26" s="41">
        <v>7</v>
      </c>
      <c r="R26" t="s">
        <v>30</v>
      </c>
      <c r="S26" s="40" t="s">
        <v>665</v>
      </c>
      <c r="T26" t="s">
        <v>689</v>
      </c>
      <c r="U26" s="9" t="s">
        <v>239</v>
      </c>
      <c r="V26" t="s">
        <v>751</v>
      </c>
      <c r="W26" t="s">
        <v>752</v>
      </c>
    </row>
    <row r="27" spans="1:23" ht="13.8" x14ac:dyDescent="0.25">
      <c r="B27" s="39"/>
      <c r="C27" s="39"/>
      <c r="D27" s="39">
        <v>28</v>
      </c>
      <c r="E27" s="41" t="s">
        <v>289</v>
      </c>
      <c r="F27" s="41" t="s">
        <v>290</v>
      </c>
      <c r="G27" s="41"/>
      <c r="H27" s="41"/>
      <c r="I27" s="41"/>
      <c r="J27" s="41"/>
      <c r="K27" s="41"/>
      <c r="L27" s="41"/>
      <c r="M27" s="41"/>
      <c r="N27" s="41">
        <v>26</v>
      </c>
      <c r="O27" s="11" t="s">
        <v>103</v>
      </c>
      <c r="Q27" s="41">
        <v>8</v>
      </c>
      <c r="R27" t="s">
        <v>31</v>
      </c>
      <c r="S27" s="40" t="s">
        <v>666</v>
      </c>
      <c r="T27" t="s">
        <v>685</v>
      </c>
      <c r="U27" s="9" t="s">
        <v>239</v>
      </c>
      <c r="V27" t="s">
        <v>751</v>
      </c>
      <c r="W27" t="s">
        <v>752</v>
      </c>
    </row>
    <row r="28" spans="1:23" ht="13.8" x14ac:dyDescent="0.25">
      <c r="B28" s="39"/>
      <c r="C28" s="39"/>
      <c r="D28" s="39">
        <v>29</v>
      </c>
      <c r="E28" s="41" t="s">
        <v>291</v>
      </c>
      <c r="F28" s="41" t="s">
        <v>292</v>
      </c>
      <c r="G28" s="41"/>
      <c r="H28" s="41"/>
      <c r="I28" s="41"/>
      <c r="J28" s="41"/>
      <c r="K28" s="41"/>
      <c r="L28" s="41"/>
      <c r="M28" s="41"/>
      <c r="N28" s="41">
        <v>27</v>
      </c>
      <c r="O28" s="11" t="s">
        <v>104</v>
      </c>
      <c r="Q28" s="41">
        <v>9</v>
      </c>
      <c r="R28" t="s">
        <v>758</v>
      </c>
      <c r="S28" s="40" t="s">
        <v>759</v>
      </c>
      <c r="T28" t="s">
        <v>760</v>
      </c>
      <c r="U28" s="9" t="s">
        <v>239</v>
      </c>
      <c r="V28" t="s">
        <v>751</v>
      </c>
      <c r="W28" t="s">
        <v>752</v>
      </c>
    </row>
    <row r="29" spans="1:23" ht="13.8" x14ac:dyDescent="0.25">
      <c r="B29" s="39"/>
      <c r="C29" s="39"/>
      <c r="D29" s="39">
        <v>30</v>
      </c>
      <c r="E29" s="41" t="s">
        <v>293</v>
      </c>
      <c r="F29" s="41" t="s">
        <v>294</v>
      </c>
      <c r="G29" s="41"/>
      <c r="H29" s="41"/>
      <c r="I29" s="41"/>
      <c r="J29" s="41"/>
      <c r="K29" s="41"/>
      <c r="L29" s="41"/>
      <c r="M29" s="41"/>
      <c r="N29" s="41">
        <v>28</v>
      </c>
      <c r="O29" s="11" t="s">
        <v>105</v>
      </c>
      <c r="Q29" s="41">
        <v>10</v>
      </c>
      <c r="R29" t="s">
        <v>794</v>
      </c>
      <c r="S29" s="40" t="s">
        <v>795</v>
      </c>
      <c r="T29" t="s">
        <v>692</v>
      </c>
      <c r="U29" s="9" t="s">
        <v>239</v>
      </c>
      <c r="V29" t="s">
        <v>751</v>
      </c>
      <c r="W29" t="s">
        <v>752</v>
      </c>
    </row>
    <row r="30" spans="1:23" ht="13.8" x14ac:dyDescent="0.25">
      <c r="B30" s="39"/>
      <c r="C30" s="39"/>
      <c r="D30" s="39">
        <v>31</v>
      </c>
      <c r="E30" s="41" t="s">
        <v>295</v>
      </c>
      <c r="F30" s="41" t="s">
        <v>296</v>
      </c>
      <c r="G30" s="41"/>
      <c r="H30" s="41"/>
      <c r="I30" s="41"/>
      <c r="J30" s="41"/>
      <c r="K30" s="41"/>
      <c r="L30" s="41"/>
      <c r="M30" s="41"/>
      <c r="N30" s="41">
        <v>29</v>
      </c>
      <c r="O30" s="11" t="s">
        <v>106</v>
      </c>
      <c r="Q30" s="41">
        <v>11</v>
      </c>
      <c r="R30" t="s">
        <v>63</v>
      </c>
      <c r="S30" s="40" t="s">
        <v>667</v>
      </c>
      <c r="T30" t="s">
        <v>696</v>
      </c>
      <c r="U30" s="9" t="s">
        <v>239</v>
      </c>
      <c r="V30" t="s">
        <v>751</v>
      </c>
      <c r="W30" t="s">
        <v>752</v>
      </c>
    </row>
    <row r="31" spans="1:23" ht="13.8" x14ac:dyDescent="0.25">
      <c r="B31" s="39"/>
      <c r="C31" s="39"/>
      <c r="D31" s="39">
        <v>32</v>
      </c>
      <c r="E31" s="41" t="s">
        <v>297</v>
      </c>
      <c r="F31" s="41" t="s">
        <v>298</v>
      </c>
      <c r="G31" s="41"/>
      <c r="H31" s="41"/>
      <c r="I31" s="41"/>
      <c r="J31" s="41"/>
      <c r="K31" s="41"/>
      <c r="L31" s="41"/>
      <c r="M31" s="41"/>
      <c r="N31" s="41">
        <v>30</v>
      </c>
      <c r="O31" s="11" t="s">
        <v>107</v>
      </c>
      <c r="Q31" s="41">
        <v>12</v>
      </c>
      <c r="R31" t="s">
        <v>33</v>
      </c>
      <c r="S31" s="40" t="s">
        <v>668</v>
      </c>
      <c r="T31" t="s">
        <v>691</v>
      </c>
      <c r="U31" s="9" t="s">
        <v>239</v>
      </c>
      <c r="V31" t="s">
        <v>751</v>
      </c>
      <c r="W31" t="s">
        <v>752</v>
      </c>
    </row>
    <row r="32" spans="1:23" ht="13.8" x14ac:dyDescent="0.25">
      <c r="B32" s="39"/>
      <c r="C32" s="39"/>
      <c r="D32" s="39">
        <v>33</v>
      </c>
      <c r="E32" s="41" t="s">
        <v>299</v>
      </c>
      <c r="F32" s="41" t="s">
        <v>300</v>
      </c>
      <c r="G32" s="41"/>
      <c r="H32" s="41"/>
      <c r="I32" s="41"/>
      <c r="J32" s="41"/>
      <c r="K32" s="41"/>
      <c r="L32" s="41"/>
      <c r="M32" s="41"/>
      <c r="N32" s="41">
        <v>31</v>
      </c>
      <c r="O32" s="11" t="s">
        <v>108</v>
      </c>
      <c r="Q32" s="41">
        <v>13</v>
      </c>
      <c r="R32" t="s">
        <v>435</v>
      </c>
      <c r="S32" s="40" t="s">
        <v>669</v>
      </c>
      <c r="T32" t="s">
        <v>695</v>
      </c>
      <c r="U32" s="9" t="s">
        <v>239</v>
      </c>
      <c r="V32" t="s">
        <v>751</v>
      </c>
      <c r="W32" t="s">
        <v>752</v>
      </c>
    </row>
    <row r="33" spans="2:23" ht="13.8" x14ac:dyDescent="0.25">
      <c r="B33" s="39"/>
      <c r="C33" s="39"/>
      <c r="D33" s="39">
        <v>34</v>
      </c>
      <c r="E33" s="41" t="s">
        <v>301</v>
      </c>
      <c r="F33" s="41" t="s">
        <v>302</v>
      </c>
      <c r="G33" s="41"/>
      <c r="H33" s="41"/>
      <c r="I33" s="41"/>
      <c r="J33" s="41"/>
      <c r="K33" s="41"/>
      <c r="L33" s="41"/>
      <c r="M33" s="41"/>
      <c r="N33" s="41">
        <v>32</v>
      </c>
      <c r="O33" s="11" t="s">
        <v>109</v>
      </c>
      <c r="Q33" s="41">
        <v>1</v>
      </c>
      <c r="R33" t="s">
        <v>54</v>
      </c>
      <c r="S33" s="40" t="s">
        <v>670</v>
      </c>
      <c r="T33" t="s">
        <v>694</v>
      </c>
      <c r="U33" s="9" t="s">
        <v>239</v>
      </c>
      <c r="V33" t="s">
        <v>751</v>
      </c>
      <c r="W33" t="s">
        <v>752</v>
      </c>
    </row>
    <row r="34" spans="2:23" ht="13.8" x14ac:dyDescent="0.25">
      <c r="B34" s="39"/>
      <c r="C34" s="39"/>
      <c r="D34" s="39">
        <v>35</v>
      </c>
      <c r="E34" s="41" t="s">
        <v>303</v>
      </c>
      <c r="F34" s="41" t="s">
        <v>304</v>
      </c>
      <c r="G34" s="41"/>
      <c r="H34" s="41"/>
      <c r="I34" s="41"/>
      <c r="J34" s="41"/>
      <c r="K34" s="41"/>
      <c r="L34" s="41"/>
      <c r="M34" s="41"/>
      <c r="N34" s="41">
        <v>33</v>
      </c>
      <c r="O34" s="12" t="s">
        <v>110</v>
      </c>
      <c r="Q34" s="41">
        <v>2</v>
      </c>
      <c r="R34" s="11" t="s">
        <v>608</v>
      </c>
      <c r="S34" s="106" t="s">
        <v>684</v>
      </c>
      <c r="T34" t="s">
        <v>694</v>
      </c>
      <c r="U34" s="9" t="s">
        <v>572</v>
      </c>
      <c r="V34" t="s">
        <v>751</v>
      </c>
      <c r="W34" t="s">
        <v>752</v>
      </c>
    </row>
    <row r="35" spans="2:23" ht="13.8" x14ac:dyDescent="0.25">
      <c r="B35" s="39"/>
      <c r="C35" s="39"/>
      <c r="D35" s="39">
        <v>36</v>
      </c>
      <c r="E35" s="41" t="s">
        <v>305</v>
      </c>
      <c r="F35" s="41" t="s">
        <v>306</v>
      </c>
      <c r="G35" s="41"/>
      <c r="H35" s="41"/>
      <c r="I35" s="41"/>
      <c r="J35" s="41"/>
      <c r="K35" s="41"/>
      <c r="L35" s="41"/>
      <c r="M35" s="41"/>
      <c r="N35" s="41">
        <v>34</v>
      </c>
      <c r="O35" s="11" t="s">
        <v>111</v>
      </c>
      <c r="Q35" s="41">
        <v>3</v>
      </c>
      <c r="R35" s="11" t="s">
        <v>577</v>
      </c>
      <c r="S35" s="40" t="s">
        <v>680</v>
      </c>
      <c r="T35" t="s">
        <v>688</v>
      </c>
      <c r="U35" s="9" t="s">
        <v>570</v>
      </c>
      <c r="V35" t="s">
        <v>751</v>
      </c>
      <c r="W35" t="s">
        <v>752</v>
      </c>
    </row>
    <row r="36" spans="2:23" ht="13.8" x14ac:dyDescent="0.25">
      <c r="B36" s="39"/>
      <c r="C36" s="39"/>
      <c r="D36" s="39">
        <v>37</v>
      </c>
      <c r="E36" s="41" t="s">
        <v>307</v>
      </c>
      <c r="F36" s="41" t="s">
        <v>308</v>
      </c>
      <c r="G36" s="41"/>
      <c r="H36" s="41"/>
      <c r="I36" s="41"/>
      <c r="J36" s="41"/>
      <c r="K36" s="41"/>
      <c r="L36" s="41"/>
      <c r="M36" s="41"/>
      <c r="N36" s="41">
        <v>35</v>
      </c>
      <c r="O36" s="11" t="s">
        <v>112</v>
      </c>
      <c r="Q36" s="41">
        <v>4</v>
      </c>
      <c r="R36" s="11" t="s">
        <v>712</v>
      </c>
      <c r="S36" s="40" t="s">
        <v>713</v>
      </c>
      <c r="T36" t="s">
        <v>694</v>
      </c>
      <c r="U36" s="9" t="s">
        <v>569</v>
      </c>
      <c r="V36" t="s">
        <v>751</v>
      </c>
      <c r="W36" t="s">
        <v>752</v>
      </c>
    </row>
    <row r="37" spans="2:23" ht="13.8" x14ac:dyDescent="0.25">
      <c r="B37" s="39"/>
      <c r="C37" s="39"/>
      <c r="D37" s="39">
        <v>38</v>
      </c>
      <c r="E37" s="41" t="s">
        <v>309</v>
      </c>
      <c r="F37" s="41" t="s">
        <v>531</v>
      </c>
      <c r="G37" s="41"/>
      <c r="H37" s="41"/>
      <c r="I37" s="41"/>
      <c r="J37" s="41"/>
      <c r="K37" s="41"/>
      <c r="L37" s="41"/>
      <c r="M37" s="41"/>
      <c r="N37" s="41">
        <v>36</v>
      </c>
      <c r="O37" s="11" t="s">
        <v>113</v>
      </c>
      <c r="Q37" s="41">
        <v>5</v>
      </c>
      <c r="R37" s="11" t="s">
        <v>598</v>
      </c>
      <c r="S37" s="40" t="s">
        <v>673</v>
      </c>
      <c r="T37" t="s">
        <v>693</v>
      </c>
      <c r="U37" s="9" t="s">
        <v>746</v>
      </c>
      <c r="V37" t="s">
        <v>751</v>
      </c>
      <c r="W37" t="s">
        <v>752</v>
      </c>
    </row>
    <row r="38" spans="2:23" ht="13.8" x14ac:dyDescent="0.25">
      <c r="B38" s="39"/>
      <c r="C38" s="39"/>
      <c r="D38" s="39">
        <v>39</v>
      </c>
      <c r="E38" s="41" t="s">
        <v>310</v>
      </c>
      <c r="F38" s="41" t="s">
        <v>311</v>
      </c>
      <c r="G38" s="41"/>
      <c r="H38" s="41"/>
      <c r="I38" s="41"/>
      <c r="J38" s="41"/>
      <c r="K38" s="41"/>
      <c r="L38" s="41"/>
      <c r="M38" s="41"/>
      <c r="N38" s="41">
        <v>37</v>
      </c>
      <c r="O38" s="11" t="s">
        <v>114</v>
      </c>
      <c r="Q38" s="41">
        <v>6</v>
      </c>
      <c r="R38" s="11" t="s">
        <v>744</v>
      </c>
      <c r="S38" s="40" t="s">
        <v>745</v>
      </c>
      <c r="T38" t="s">
        <v>688</v>
      </c>
      <c r="U38" s="9" t="s">
        <v>571</v>
      </c>
      <c r="V38" t="s">
        <v>751</v>
      </c>
      <c r="W38" t="s">
        <v>752</v>
      </c>
    </row>
    <row r="39" spans="2:23" ht="13.8" x14ac:dyDescent="0.25">
      <c r="B39" s="39"/>
      <c r="D39" s="39">
        <v>40</v>
      </c>
      <c r="E39" s="41" t="s">
        <v>312</v>
      </c>
      <c r="F39" s="41" t="s">
        <v>313</v>
      </c>
      <c r="G39" s="41"/>
      <c r="H39" s="41"/>
      <c r="I39" s="41"/>
      <c r="J39" s="41"/>
      <c r="K39" s="41"/>
      <c r="L39" s="41"/>
      <c r="M39" s="41"/>
      <c r="N39" s="41">
        <v>38</v>
      </c>
      <c r="O39" s="11" t="s">
        <v>115</v>
      </c>
      <c r="Q39" s="41">
        <v>7</v>
      </c>
      <c r="R39" s="11" t="s">
        <v>728</v>
      </c>
      <c r="S39" s="40" t="s">
        <v>682</v>
      </c>
      <c r="T39" t="s">
        <v>690</v>
      </c>
      <c r="U39" s="9" t="s">
        <v>576</v>
      </c>
      <c r="V39" t="s">
        <v>751</v>
      </c>
      <c r="W39" t="s">
        <v>753</v>
      </c>
    </row>
    <row r="40" spans="2:23" ht="13.8" x14ac:dyDescent="0.25">
      <c r="B40" s="39"/>
      <c r="D40" s="39">
        <v>41</v>
      </c>
      <c r="E40" s="41" t="s">
        <v>314</v>
      </c>
      <c r="F40" s="41" t="s">
        <v>315</v>
      </c>
      <c r="G40" s="41"/>
      <c r="H40" s="41"/>
      <c r="I40" s="41"/>
      <c r="J40" s="41"/>
      <c r="K40" s="41"/>
      <c r="L40" s="41"/>
      <c r="M40" s="41"/>
      <c r="N40" s="41">
        <v>39</v>
      </c>
      <c r="O40" s="11" t="s">
        <v>116</v>
      </c>
      <c r="Q40" s="41">
        <v>8</v>
      </c>
      <c r="R40" s="11" t="s">
        <v>675</v>
      </c>
      <c r="S40" s="40" t="s">
        <v>676</v>
      </c>
      <c r="T40" t="s">
        <v>688</v>
      </c>
      <c r="U40" s="9" t="s">
        <v>573</v>
      </c>
      <c r="V40" t="s">
        <v>751</v>
      </c>
      <c r="W40" t="s">
        <v>753</v>
      </c>
    </row>
    <row r="41" spans="2:23" ht="13.8" x14ac:dyDescent="0.25">
      <c r="D41" s="39">
        <v>42</v>
      </c>
      <c r="E41" s="41" t="s">
        <v>316</v>
      </c>
      <c r="F41" s="41" t="s">
        <v>317</v>
      </c>
      <c r="G41" s="41"/>
      <c r="H41" s="41"/>
      <c r="I41" s="41"/>
      <c r="J41" s="41"/>
      <c r="K41" s="41"/>
      <c r="L41" s="41"/>
      <c r="M41" s="41"/>
      <c r="N41" s="41">
        <v>40</v>
      </c>
      <c r="O41" s="11" t="s">
        <v>117</v>
      </c>
      <c r="Q41" s="41">
        <v>9</v>
      </c>
      <c r="R41" s="11" t="s">
        <v>579</v>
      </c>
      <c r="S41" s="40" t="s">
        <v>681</v>
      </c>
      <c r="T41" t="s">
        <v>692</v>
      </c>
      <c r="U41" s="9" t="s">
        <v>575</v>
      </c>
      <c r="V41" t="s">
        <v>751</v>
      </c>
      <c r="W41" t="s">
        <v>753</v>
      </c>
    </row>
    <row r="42" spans="2:23" ht="13.8" x14ac:dyDescent="0.25">
      <c r="D42" s="39">
        <v>43</v>
      </c>
      <c r="E42" s="41" t="s">
        <v>318</v>
      </c>
      <c r="F42" s="41" t="s">
        <v>529</v>
      </c>
      <c r="G42" s="41"/>
      <c r="H42" s="41"/>
      <c r="I42" s="41"/>
      <c r="J42" s="41"/>
      <c r="K42" s="41"/>
      <c r="L42" s="41"/>
      <c r="M42" s="41"/>
      <c r="N42" s="41">
        <v>41</v>
      </c>
      <c r="O42" s="11" t="s">
        <v>118</v>
      </c>
      <c r="Q42" s="41">
        <v>10</v>
      </c>
      <c r="R42" s="11" t="s">
        <v>578</v>
      </c>
      <c r="S42" s="40" t="s">
        <v>678</v>
      </c>
      <c r="T42" t="s">
        <v>694</v>
      </c>
      <c r="U42" s="9" t="s">
        <v>574</v>
      </c>
      <c r="V42" t="s">
        <v>751</v>
      </c>
      <c r="W42" t="s">
        <v>753</v>
      </c>
    </row>
    <row r="43" spans="2:23" ht="13.8" x14ac:dyDescent="0.25">
      <c r="C43" s="39"/>
      <c r="D43" s="39">
        <v>44</v>
      </c>
      <c r="E43" s="41" t="s">
        <v>319</v>
      </c>
      <c r="F43" s="41" t="s">
        <v>320</v>
      </c>
      <c r="G43" s="41"/>
      <c r="H43" s="41"/>
      <c r="I43" s="41"/>
      <c r="J43" s="41"/>
      <c r="K43" s="41"/>
      <c r="L43" s="41"/>
      <c r="M43" s="41"/>
      <c r="N43" s="41">
        <v>42</v>
      </c>
      <c r="O43" s="11" t="s">
        <v>119</v>
      </c>
      <c r="Q43" s="41">
        <v>11</v>
      </c>
      <c r="R43" t="s">
        <v>493</v>
      </c>
      <c r="S43" s="40" t="s">
        <v>679</v>
      </c>
      <c r="T43" t="s">
        <v>697</v>
      </c>
      <c r="U43" t="s">
        <v>509</v>
      </c>
      <c r="V43" t="s">
        <v>755</v>
      </c>
    </row>
    <row r="44" spans="2:23" ht="13.8" x14ac:dyDescent="0.25">
      <c r="C44" s="39"/>
      <c r="D44" s="39">
        <v>45</v>
      </c>
      <c r="E44" s="41" t="s">
        <v>321</v>
      </c>
      <c r="F44" s="41" t="s">
        <v>322</v>
      </c>
      <c r="G44" s="41"/>
      <c r="H44" s="41"/>
      <c r="I44" s="41"/>
      <c r="J44" s="41"/>
      <c r="K44" s="41"/>
      <c r="L44" s="41"/>
      <c r="M44" s="41"/>
      <c r="N44" s="41">
        <v>43</v>
      </c>
      <c r="O44" s="11" t="s">
        <v>120</v>
      </c>
      <c r="Q44" s="41">
        <v>12</v>
      </c>
      <c r="R44" t="s">
        <v>433</v>
      </c>
      <c r="S44" s="40" t="s">
        <v>674</v>
      </c>
      <c r="T44" t="s">
        <v>685</v>
      </c>
      <c r="U44" t="s">
        <v>500</v>
      </c>
      <c r="V44" t="s">
        <v>751</v>
      </c>
      <c r="W44" t="s">
        <v>752</v>
      </c>
    </row>
    <row r="45" spans="2:23" ht="13.8" x14ac:dyDescent="0.25">
      <c r="B45" s="39"/>
      <c r="C45" s="39"/>
      <c r="D45" s="39">
        <v>46</v>
      </c>
      <c r="E45" s="41" t="s">
        <v>323</v>
      </c>
      <c r="F45" s="41" t="s">
        <v>324</v>
      </c>
      <c r="G45" s="41"/>
      <c r="H45" s="41"/>
      <c r="I45" s="41"/>
      <c r="J45" s="41"/>
      <c r="K45" s="41"/>
      <c r="L45" s="41"/>
      <c r="M45" s="41"/>
      <c r="N45" s="41">
        <v>44</v>
      </c>
      <c r="O45" s="11" t="s">
        <v>121</v>
      </c>
      <c r="Q45" s="41">
        <v>13</v>
      </c>
      <c r="R45" t="s">
        <v>432</v>
      </c>
      <c r="S45" s="40" t="s">
        <v>672</v>
      </c>
      <c r="T45" t="s">
        <v>686</v>
      </c>
      <c r="U45" t="s">
        <v>501</v>
      </c>
      <c r="V45" t="s">
        <v>751</v>
      </c>
      <c r="W45" t="s">
        <v>752</v>
      </c>
    </row>
    <row r="46" spans="2:23" ht="13.8" x14ac:dyDescent="0.25">
      <c r="B46" s="39"/>
      <c r="C46" s="39"/>
      <c r="D46" s="39">
        <v>47</v>
      </c>
      <c r="E46" s="41" t="s">
        <v>740</v>
      </c>
      <c r="F46" s="41" t="s">
        <v>430</v>
      </c>
      <c r="G46" s="41"/>
      <c r="H46" s="41"/>
      <c r="I46" s="41"/>
      <c r="J46" s="41"/>
      <c r="K46" s="41"/>
      <c r="L46" s="41"/>
      <c r="M46" s="41"/>
      <c r="N46" s="41">
        <v>45</v>
      </c>
      <c r="O46" s="11" t="s">
        <v>122</v>
      </c>
      <c r="Q46" s="41">
        <v>14</v>
      </c>
      <c r="R46" t="s">
        <v>65</v>
      </c>
      <c r="S46" s="40" t="s">
        <v>677</v>
      </c>
      <c r="T46" t="s">
        <v>687</v>
      </c>
      <c r="U46" t="s">
        <v>504</v>
      </c>
      <c r="V46" t="s">
        <v>751</v>
      </c>
      <c r="W46" t="s">
        <v>752</v>
      </c>
    </row>
    <row r="47" spans="2:23" ht="13.8" x14ac:dyDescent="0.25">
      <c r="B47" s="39"/>
      <c r="D47" s="39">
        <v>48</v>
      </c>
      <c r="E47" s="41" t="s">
        <v>325</v>
      </c>
      <c r="F47" s="41" t="s">
        <v>326</v>
      </c>
      <c r="G47" s="41"/>
      <c r="H47" s="41"/>
      <c r="I47" s="41"/>
      <c r="J47" s="41"/>
      <c r="K47" s="41"/>
      <c r="L47" s="41"/>
      <c r="M47" s="41"/>
      <c r="N47" s="41">
        <v>46</v>
      </c>
      <c r="O47" s="11" t="s">
        <v>123</v>
      </c>
      <c r="Q47" s="41">
        <v>15</v>
      </c>
      <c r="R47" t="s">
        <v>710</v>
      </c>
      <c r="S47" s="40" t="s">
        <v>711</v>
      </c>
      <c r="T47" t="s">
        <v>696</v>
      </c>
      <c r="U47" t="s">
        <v>503</v>
      </c>
      <c r="V47" t="s">
        <v>751</v>
      </c>
      <c r="W47" t="s">
        <v>752</v>
      </c>
    </row>
    <row r="48" spans="2:23" ht="13.8" x14ac:dyDescent="0.25">
      <c r="B48" s="39"/>
      <c r="C48" s="39"/>
      <c r="D48" s="39">
        <v>49</v>
      </c>
      <c r="E48" s="41" t="s">
        <v>327</v>
      </c>
      <c r="F48" s="41" t="s">
        <v>328</v>
      </c>
      <c r="G48" s="41"/>
      <c r="H48" s="41"/>
      <c r="I48" s="41"/>
      <c r="J48" s="41"/>
      <c r="K48" s="41"/>
      <c r="L48" s="41"/>
      <c r="M48" s="41"/>
      <c r="N48" s="41">
        <v>47</v>
      </c>
      <c r="O48" s="11" t="s">
        <v>124</v>
      </c>
      <c r="Q48" s="41">
        <v>16</v>
      </c>
      <c r="R48" t="s">
        <v>715</v>
      </c>
      <c r="S48" s="40" t="s">
        <v>714</v>
      </c>
      <c r="T48" t="s">
        <v>689</v>
      </c>
      <c r="U48" t="s">
        <v>506</v>
      </c>
      <c r="V48" t="s">
        <v>751</v>
      </c>
      <c r="W48" t="s">
        <v>752</v>
      </c>
    </row>
    <row r="49" spans="2:23" ht="13.8" x14ac:dyDescent="0.25">
      <c r="C49" s="39"/>
      <c r="D49" s="39">
        <v>50</v>
      </c>
      <c r="E49" s="41" t="s">
        <v>329</v>
      </c>
      <c r="F49" s="41" t="s">
        <v>532</v>
      </c>
      <c r="G49" s="41"/>
      <c r="H49" s="41"/>
      <c r="I49" s="41"/>
      <c r="J49" s="41"/>
      <c r="K49" s="41"/>
      <c r="L49" s="41"/>
      <c r="M49" s="41"/>
      <c r="N49" s="41">
        <v>48</v>
      </c>
      <c r="O49" s="11" t="s">
        <v>125</v>
      </c>
      <c r="Q49" s="41">
        <v>17</v>
      </c>
      <c r="R49" s="11" t="s">
        <v>658</v>
      </c>
      <c r="S49" s="40" t="s">
        <v>659</v>
      </c>
      <c r="T49" t="s">
        <v>690</v>
      </c>
      <c r="U49" t="s">
        <v>505</v>
      </c>
      <c r="V49" t="s">
        <v>751</v>
      </c>
      <c r="W49" t="s">
        <v>752</v>
      </c>
    </row>
    <row r="50" spans="2:23" ht="13.8" x14ac:dyDescent="0.25">
      <c r="B50" s="39"/>
      <c r="D50" s="39">
        <v>51</v>
      </c>
      <c r="E50" s="41" t="s">
        <v>330</v>
      </c>
      <c r="F50" s="41" t="s">
        <v>533</v>
      </c>
      <c r="G50" s="41"/>
      <c r="H50" s="41"/>
      <c r="I50" s="41"/>
      <c r="J50" s="41"/>
      <c r="K50" s="41"/>
      <c r="L50" s="41"/>
      <c r="M50" s="41"/>
      <c r="N50" s="41">
        <v>49</v>
      </c>
      <c r="O50" s="11" t="s">
        <v>126</v>
      </c>
      <c r="Q50" s="41">
        <v>18</v>
      </c>
      <c r="R50" t="s">
        <v>431</v>
      </c>
      <c r="S50" s="40" t="s">
        <v>671</v>
      </c>
      <c r="T50" t="s">
        <v>691</v>
      </c>
      <c r="U50" s="9" t="s">
        <v>499</v>
      </c>
      <c r="V50" t="s">
        <v>751</v>
      </c>
      <c r="W50" t="s">
        <v>752</v>
      </c>
    </row>
    <row r="51" spans="2:23" ht="13.8" x14ac:dyDescent="0.25">
      <c r="B51" s="39"/>
      <c r="D51" s="39">
        <v>52</v>
      </c>
      <c r="E51" s="41" t="s">
        <v>331</v>
      </c>
      <c r="F51" s="41" t="s">
        <v>530</v>
      </c>
      <c r="G51" s="41"/>
      <c r="H51" s="41"/>
      <c r="I51" s="41"/>
      <c r="J51" s="41"/>
      <c r="K51" s="41"/>
      <c r="L51" s="41"/>
      <c r="M51" s="41"/>
      <c r="N51" s="41">
        <v>50</v>
      </c>
      <c r="O51" s="11" t="s">
        <v>127</v>
      </c>
      <c r="Q51" s="41">
        <v>19</v>
      </c>
      <c r="R51" t="s">
        <v>708</v>
      </c>
      <c r="S51" s="40" t="s">
        <v>709</v>
      </c>
      <c r="T51" t="s">
        <v>692</v>
      </c>
      <c r="U51" t="s">
        <v>543</v>
      </c>
      <c r="V51" t="s">
        <v>751</v>
      </c>
      <c r="W51" t="s">
        <v>752</v>
      </c>
    </row>
    <row r="52" spans="2:23" ht="13.8" x14ac:dyDescent="0.25">
      <c r="C52" s="39"/>
      <c r="D52" s="39">
        <v>53</v>
      </c>
      <c r="E52" s="41" t="s">
        <v>332</v>
      </c>
      <c r="F52" s="41" t="s">
        <v>333</v>
      </c>
      <c r="G52" s="41"/>
      <c r="H52" s="41"/>
      <c r="I52" s="41"/>
      <c r="J52" s="41"/>
      <c r="K52" s="41"/>
      <c r="L52" s="41"/>
      <c r="M52" s="41"/>
      <c r="N52" s="41">
        <v>51</v>
      </c>
      <c r="O52" s="11" t="s">
        <v>128</v>
      </c>
      <c r="Q52" s="41">
        <v>20</v>
      </c>
      <c r="R52" s="11" t="s">
        <v>747</v>
      </c>
      <c r="S52" s="40" t="s">
        <v>748</v>
      </c>
      <c r="T52" t="s">
        <v>693</v>
      </c>
      <c r="U52" t="s">
        <v>507</v>
      </c>
      <c r="V52" t="s">
        <v>751</v>
      </c>
      <c r="W52" t="s">
        <v>752</v>
      </c>
    </row>
    <row r="53" spans="2:23" ht="13.8" x14ac:dyDescent="0.25">
      <c r="C53" s="39"/>
      <c r="D53" s="39">
        <v>54</v>
      </c>
      <c r="E53" s="41" t="s">
        <v>334</v>
      </c>
      <c r="F53" s="41" t="s">
        <v>335</v>
      </c>
      <c r="G53" s="41"/>
      <c r="H53" s="41"/>
      <c r="I53" s="41"/>
      <c r="J53" s="41"/>
      <c r="K53" s="41"/>
      <c r="L53" s="41"/>
      <c r="M53" s="41"/>
      <c r="N53" s="41">
        <v>52</v>
      </c>
      <c r="O53" s="11" t="s">
        <v>129</v>
      </c>
      <c r="Q53" s="41">
        <v>21</v>
      </c>
      <c r="R53" s="9" t="s">
        <v>605</v>
      </c>
      <c r="S53" s="40" t="s">
        <v>683</v>
      </c>
      <c r="T53" t="s">
        <v>694</v>
      </c>
      <c r="U53" t="s">
        <v>502</v>
      </c>
      <c r="V53" t="s">
        <v>751</v>
      </c>
      <c r="W53" t="s">
        <v>752</v>
      </c>
    </row>
    <row r="54" spans="2:23" ht="13.8" x14ac:dyDescent="0.25">
      <c r="B54" s="39"/>
      <c r="C54" s="39"/>
      <c r="D54" s="39">
        <v>55</v>
      </c>
      <c r="E54" s="41" t="s">
        <v>336</v>
      </c>
      <c r="F54" s="41" t="s">
        <v>337</v>
      </c>
      <c r="G54" s="41"/>
      <c r="H54" s="41"/>
      <c r="I54" s="41"/>
      <c r="J54" s="41"/>
      <c r="K54" s="41"/>
      <c r="L54" s="41"/>
      <c r="M54" s="41"/>
      <c r="N54" s="41">
        <v>53</v>
      </c>
      <c r="O54" s="11" t="s">
        <v>130</v>
      </c>
      <c r="Q54" s="41">
        <v>22</v>
      </c>
      <c r="R54" s="11" t="s">
        <v>727</v>
      </c>
      <c r="S54" s="40" t="s">
        <v>720</v>
      </c>
      <c r="T54" t="s">
        <v>695</v>
      </c>
      <c r="U54" t="s">
        <v>508</v>
      </c>
      <c r="V54" t="s">
        <v>751</v>
      </c>
      <c r="W54" t="s">
        <v>752</v>
      </c>
    </row>
    <row r="55" spans="2:23" ht="13.8" x14ac:dyDescent="0.25">
      <c r="B55" s="39"/>
      <c r="D55" s="39">
        <v>56</v>
      </c>
      <c r="E55" s="41" t="s">
        <v>338</v>
      </c>
      <c r="F55" s="41" t="s">
        <v>339</v>
      </c>
      <c r="G55" s="41"/>
      <c r="H55" s="41"/>
      <c r="I55" s="41"/>
      <c r="J55" s="41"/>
      <c r="K55" s="41"/>
      <c r="L55" s="41"/>
      <c r="M55" s="41"/>
      <c r="N55" s="41">
        <v>54</v>
      </c>
      <c r="O55" s="11" t="s">
        <v>131</v>
      </c>
      <c r="Q55" s="41">
        <v>23</v>
      </c>
      <c r="R55" s="11" t="s">
        <v>763</v>
      </c>
      <c r="S55" s="106" t="s">
        <v>764</v>
      </c>
      <c r="T55" s="9" t="s">
        <v>689</v>
      </c>
      <c r="U55" t="s">
        <v>506</v>
      </c>
      <c r="V55" s="9" t="s">
        <v>765</v>
      </c>
      <c r="W55" s="9" t="s">
        <v>766</v>
      </c>
    </row>
    <row r="56" spans="2:23" ht="13.8" x14ac:dyDescent="0.25">
      <c r="B56" s="39"/>
      <c r="D56" s="39">
        <v>57</v>
      </c>
      <c r="E56" s="41" t="s">
        <v>340</v>
      </c>
      <c r="F56" s="41" t="s">
        <v>341</v>
      </c>
      <c r="G56" s="41"/>
      <c r="H56" s="41"/>
      <c r="I56" s="41"/>
      <c r="J56" s="41"/>
      <c r="K56" s="41"/>
      <c r="L56" s="41"/>
      <c r="M56" s="41"/>
      <c r="N56" s="41">
        <v>55</v>
      </c>
      <c r="O56" s="11" t="s">
        <v>132</v>
      </c>
      <c r="Q56" s="41">
        <v>24</v>
      </c>
      <c r="R56" s="11" t="s">
        <v>763</v>
      </c>
      <c r="S56" s="106" t="s">
        <v>764</v>
      </c>
      <c r="T56" s="9" t="s">
        <v>689</v>
      </c>
      <c r="U56" t="s">
        <v>506</v>
      </c>
      <c r="V56" s="9" t="s">
        <v>765</v>
      </c>
      <c r="W56" s="9" t="s">
        <v>766</v>
      </c>
    </row>
    <row r="57" spans="2:23" ht="13.8" x14ac:dyDescent="0.25">
      <c r="D57" s="39">
        <v>58</v>
      </c>
      <c r="E57" s="41" t="s">
        <v>342</v>
      </c>
      <c r="F57" s="41" t="s">
        <v>343</v>
      </c>
      <c r="G57" s="41"/>
      <c r="H57" s="41"/>
      <c r="I57" s="41"/>
      <c r="J57" s="41"/>
      <c r="K57" s="41"/>
      <c r="L57" s="41"/>
      <c r="M57" s="41"/>
      <c r="N57" s="41">
        <v>56</v>
      </c>
      <c r="O57" s="11" t="s">
        <v>133</v>
      </c>
      <c r="Q57" s="41">
        <v>26</v>
      </c>
      <c r="R57" s="11" t="s">
        <v>796</v>
      </c>
      <c r="S57" s="106" t="s">
        <v>797</v>
      </c>
      <c r="T57" t="s">
        <v>692</v>
      </c>
      <c r="U57" s="9" t="s">
        <v>543</v>
      </c>
      <c r="V57" t="s">
        <v>751</v>
      </c>
      <c r="W57" t="s">
        <v>752</v>
      </c>
    </row>
    <row r="58" spans="2:23" ht="13.8" x14ac:dyDescent="0.25">
      <c r="D58" s="39">
        <v>59</v>
      </c>
      <c r="E58" s="41" t="s">
        <v>344</v>
      </c>
      <c r="F58" s="41" t="s">
        <v>345</v>
      </c>
      <c r="G58" s="41"/>
      <c r="H58" s="41"/>
      <c r="I58" s="41"/>
      <c r="J58" s="41"/>
      <c r="K58" s="41"/>
      <c r="L58" s="41"/>
      <c r="M58" s="41"/>
      <c r="N58" s="41">
        <v>57</v>
      </c>
      <c r="O58" s="12" t="s">
        <v>134</v>
      </c>
      <c r="Q58" s="41">
        <v>25</v>
      </c>
      <c r="R58" s="11" t="s">
        <v>789</v>
      </c>
      <c r="S58" s="106" t="s">
        <v>788</v>
      </c>
      <c r="T58" t="s">
        <v>685</v>
      </c>
      <c r="U58" t="s">
        <v>500</v>
      </c>
      <c r="V58" t="s">
        <v>751</v>
      </c>
      <c r="W58" t="s">
        <v>752</v>
      </c>
    </row>
    <row r="59" spans="2:23" ht="13.8" x14ac:dyDescent="0.25">
      <c r="D59" s="39">
        <v>60</v>
      </c>
      <c r="E59" s="41" t="s">
        <v>346</v>
      </c>
      <c r="F59" s="41" t="s">
        <v>607</v>
      </c>
      <c r="G59" s="41"/>
      <c r="H59" s="41"/>
      <c r="I59" s="41"/>
      <c r="J59" s="41"/>
      <c r="K59" s="41"/>
      <c r="L59" s="41"/>
      <c r="M59" s="41"/>
      <c r="N59" s="41">
        <v>58</v>
      </c>
      <c r="O59" s="11" t="s">
        <v>135</v>
      </c>
      <c r="Q59" s="41">
        <v>26</v>
      </c>
      <c r="R59" s="11" t="s">
        <v>775</v>
      </c>
      <c r="S59" s="106" t="s">
        <v>776</v>
      </c>
      <c r="T59" t="s">
        <v>692</v>
      </c>
      <c r="U59" s="9" t="s">
        <v>543</v>
      </c>
      <c r="V59" s="9" t="s">
        <v>765</v>
      </c>
      <c r="W59" s="9" t="s">
        <v>766</v>
      </c>
    </row>
    <row r="60" spans="2:23" ht="13.8" x14ac:dyDescent="0.25">
      <c r="D60" s="39">
        <v>61</v>
      </c>
      <c r="E60" s="41" t="s">
        <v>347</v>
      </c>
      <c r="F60" s="41" t="s">
        <v>348</v>
      </c>
      <c r="G60" s="41"/>
      <c r="H60" s="41"/>
      <c r="I60" s="41"/>
      <c r="J60" s="41"/>
      <c r="K60" s="41"/>
      <c r="L60" s="41"/>
      <c r="M60" s="41"/>
      <c r="N60" s="41">
        <v>59</v>
      </c>
      <c r="O60" s="11" t="s">
        <v>136</v>
      </c>
      <c r="Q60" s="41"/>
      <c r="R60" s="11"/>
      <c r="S60" s="40"/>
    </row>
    <row r="61" spans="2:23" ht="13.8" x14ac:dyDescent="0.25">
      <c r="D61" s="39">
        <v>62</v>
      </c>
      <c r="E61" s="41" t="s">
        <v>349</v>
      </c>
      <c r="F61" s="41" t="s">
        <v>350</v>
      </c>
      <c r="G61" s="41"/>
      <c r="H61" s="41"/>
      <c r="I61" s="41"/>
      <c r="J61" s="41"/>
      <c r="K61" s="41"/>
      <c r="L61" s="41"/>
      <c r="M61" s="41"/>
      <c r="N61" s="41">
        <v>60</v>
      </c>
      <c r="O61" s="11" t="s">
        <v>137</v>
      </c>
      <c r="Q61" s="41"/>
      <c r="R61" s="11"/>
      <c r="S61" s="40"/>
    </row>
    <row r="62" spans="2:23" ht="13.8" x14ac:dyDescent="0.25">
      <c r="D62" s="39">
        <v>63</v>
      </c>
      <c r="E62" s="41" t="s">
        <v>351</v>
      </c>
      <c r="F62" s="41" t="s">
        <v>352</v>
      </c>
      <c r="G62" s="41"/>
      <c r="H62" s="41"/>
      <c r="I62" s="41"/>
      <c r="J62" s="41"/>
      <c r="K62" s="41"/>
      <c r="L62" s="41"/>
      <c r="M62" s="41"/>
      <c r="N62" s="41">
        <v>61</v>
      </c>
      <c r="O62" s="11" t="s">
        <v>138</v>
      </c>
      <c r="Q62" s="41"/>
    </row>
    <row r="63" spans="2:23" ht="13.8" x14ac:dyDescent="0.25">
      <c r="D63" s="39">
        <v>64</v>
      </c>
      <c r="E63" s="41" t="s">
        <v>353</v>
      </c>
      <c r="F63" s="41" t="s">
        <v>354</v>
      </c>
      <c r="G63" s="41"/>
      <c r="H63" s="41"/>
      <c r="I63" s="41"/>
      <c r="J63" s="41"/>
      <c r="K63" s="41"/>
      <c r="L63" s="41"/>
      <c r="M63" s="41"/>
      <c r="N63" s="41">
        <v>62</v>
      </c>
      <c r="O63" s="11" t="s">
        <v>139</v>
      </c>
      <c r="Q63" s="41"/>
    </row>
    <row r="64" spans="2:23" ht="13.8" x14ac:dyDescent="0.25">
      <c r="D64" s="39">
        <v>65</v>
      </c>
      <c r="E64" s="41" t="s">
        <v>355</v>
      </c>
      <c r="F64" s="41" t="s">
        <v>356</v>
      </c>
      <c r="G64" s="41"/>
      <c r="H64" s="41"/>
      <c r="I64" s="41"/>
      <c r="J64" s="41"/>
      <c r="K64" s="41"/>
      <c r="L64" s="41"/>
      <c r="M64" s="41"/>
      <c r="N64" s="41">
        <v>63</v>
      </c>
      <c r="O64" s="11" t="s">
        <v>140</v>
      </c>
      <c r="Q64" s="41"/>
    </row>
    <row r="65" spans="4:17" ht="13.8" x14ac:dyDescent="0.25">
      <c r="D65" s="39">
        <v>66</v>
      </c>
      <c r="E65" s="41" t="s">
        <v>357</v>
      </c>
      <c r="F65" s="41" t="s">
        <v>358</v>
      </c>
      <c r="G65" s="41"/>
      <c r="H65" s="41"/>
      <c r="I65" s="41"/>
      <c r="J65" s="41"/>
      <c r="K65" s="41"/>
      <c r="L65" s="41"/>
      <c r="M65" s="41"/>
      <c r="N65" s="41">
        <v>64</v>
      </c>
      <c r="O65" s="11" t="s">
        <v>721</v>
      </c>
      <c r="Q65" s="41"/>
    </row>
    <row r="66" spans="4:17" ht="13.8" x14ac:dyDescent="0.25">
      <c r="D66" s="39">
        <v>67</v>
      </c>
      <c r="E66" s="41" t="s">
        <v>359</v>
      </c>
      <c r="F66" s="41" t="s">
        <v>360</v>
      </c>
      <c r="G66" s="41"/>
      <c r="H66" s="41"/>
      <c r="I66" s="41"/>
      <c r="J66" s="41"/>
      <c r="K66" s="41"/>
      <c r="L66" s="41"/>
      <c r="M66" s="41"/>
      <c r="N66" s="41">
        <v>65</v>
      </c>
      <c r="O66" s="11" t="s">
        <v>141</v>
      </c>
      <c r="Q66" s="41"/>
    </row>
    <row r="67" spans="4:17" ht="13.8" x14ac:dyDescent="0.25">
      <c r="D67" s="39">
        <v>68</v>
      </c>
      <c r="E67" s="41" t="s">
        <v>361</v>
      </c>
      <c r="F67" s="41" t="s">
        <v>362</v>
      </c>
      <c r="G67" s="41"/>
      <c r="H67" s="41"/>
      <c r="I67" s="41"/>
      <c r="J67" s="41"/>
      <c r="K67" s="41"/>
      <c r="L67" s="41"/>
      <c r="M67" s="41"/>
      <c r="N67" s="41">
        <v>66</v>
      </c>
      <c r="O67" s="11" t="s">
        <v>142</v>
      </c>
      <c r="Q67" s="41"/>
    </row>
    <row r="68" spans="4:17" ht="13.8" x14ac:dyDescent="0.25">
      <c r="D68" s="39">
        <v>69</v>
      </c>
      <c r="E68" s="41" t="s">
        <v>363</v>
      </c>
      <c r="F68" s="41" t="s">
        <v>364</v>
      </c>
      <c r="G68" s="41"/>
      <c r="H68" s="41"/>
      <c r="I68" s="41"/>
      <c r="J68" s="41"/>
      <c r="K68" s="41"/>
      <c r="L68" s="41"/>
      <c r="M68" s="41"/>
      <c r="N68" s="41">
        <v>67</v>
      </c>
      <c r="O68" s="12" t="s">
        <v>143</v>
      </c>
      <c r="Q68" s="41"/>
    </row>
    <row r="69" spans="4:17" ht="13.8" x14ac:dyDescent="0.25">
      <c r="D69" s="39">
        <v>70</v>
      </c>
      <c r="E69" s="41" t="s">
        <v>365</v>
      </c>
      <c r="F69" s="41" t="s">
        <v>366</v>
      </c>
      <c r="G69" s="41"/>
      <c r="H69" s="41"/>
      <c r="I69" s="41"/>
      <c r="J69" s="41"/>
      <c r="K69" s="41"/>
      <c r="L69" s="41"/>
      <c r="M69" s="41"/>
      <c r="N69" s="41">
        <v>68</v>
      </c>
      <c r="O69" s="11" t="s">
        <v>144</v>
      </c>
      <c r="Q69" s="41"/>
    </row>
    <row r="70" spans="4:17" ht="13.8" x14ac:dyDescent="0.25">
      <c r="D70" s="39">
        <v>71</v>
      </c>
      <c r="E70" s="41" t="s">
        <v>367</v>
      </c>
      <c r="F70" s="41" t="s">
        <v>368</v>
      </c>
      <c r="G70" s="41"/>
      <c r="H70" s="41"/>
      <c r="I70" s="41"/>
      <c r="J70" s="41"/>
      <c r="K70" s="41"/>
      <c r="L70" s="41"/>
      <c r="M70" s="41"/>
      <c r="N70" s="41">
        <v>69</v>
      </c>
      <c r="O70" s="11" t="s">
        <v>145</v>
      </c>
      <c r="Q70" s="41"/>
    </row>
    <row r="71" spans="4:17" ht="13.8" x14ac:dyDescent="0.25">
      <c r="D71" s="39">
        <v>72</v>
      </c>
      <c r="E71" s="41" t="s">
        <v>369</v>
      </c>
      <c r="F71" s="41" t="s">
        <v>370</v>
      </c>
      <c r="G71" s="41"/>
      <c r="H71" s="41"/>
      <c r="I71" s="41"/>
      <c r="J71" s="41"/>
      <c r="K71" s="41"/>
      <c r="L71" s="41"/>
      <c r="M71" s="41"/>
      <c r="N71" s="41">
        <v>70</v>
      </c>
      <c r="O71" s="11" t="s">
        <v>146</v>
      </c>
      <c r="Q71" s="41"/>
    </row>
    <row r="72" spans="4:17" ht="13.8" x14ac:dyDescent="0.25">
      <c r="D72" s="39">
        <v>73</v>
      </c>
      <c r="E72" s="41" t="s">
        <v>371</v>
      </c>
      <c r="F72" s="41" t="s">
        <v>372</v>
      </c>
      <c r="G72" s="41"/>
      <c r="H72" s="41"/>
      <c r="I72" s="41"/>
      <c r="J72" s="41"/>
      <c r="K72" s="41"/>
      <c r="L72" s="41"/>
      <c r="M72" s="41"/>
      <c r="N72" s="41">
        <v>71</v>
      </c>
      <c r="O72" s="12" t="s">
        <v>147</v>
      </c>
      <c r="Q72" s="41"/>
    </row>
    <row r="73" spans="4:17" ht="13.8" x14ac:dyDescent="0.25">
      <c r="D73" s="39">
        <v>74</v>
      </c>
      <c r="E73" s="41" t="s">
        <v>373</v>
      </c>
      <c r="F73" s="41" t="s">
        <v>374</v>
      </c>
      <c r="G73" s="41"/>
      <c r="H73" s="41"/>
      <c r="I73" s="41"/>
      <c r="J73" s="41"/>
      <c r="K73" s="41"/>
      <c r="L73" s="41"/>
      <c r="M73" s="41"/>
      <c r="N73" s="41">
        <v>72</v>
      </c>
      <c r="O73" s="11" t="s">
        <v>148</v>
      </c>
      <c r="Q73" s="41"/>
    </row>
    <row r="74" spans="4:17" ht="13.8" x14ac:dyDescent="0.25">
      <c r="D74" s="39">
        <v>75</v>
      </c>
      <c r="E74" s="41" t="s">
        <v>375</v>
      </c>
      <c r="F74" s="41" t="s">
        <v>376</v>
      </c>
      <c r="G74" s="41"/>
      <c r="H74" s="41"/>
      <c r="I74" s="41"/>
      <c r="J74" s="41"/>
      <c r="K74" s="41"/>
      <c r="L74" s="41"/>
      <c r="M74" s="41"/>
      <c r="N74" s="41">
        <v>73</v>
      </c>
      <c r="O74" s="11" t="s">
        <v>149</v>
      </c>
      <c r="Q74" s="41"/>
    </row>
    <row r="75" spans="4:17" ht="13.8" x14ac:dyDescent="0.25">
      <c r="D75" s="39">
        <v>76</v>
      </c>
      <c r="E75" s="41" t="s">
        <v>377</v>
      </c>
      <c r="F75" s="41" t="s">
        <v>378</v>
      </c>
      <c r="G75" s="41"/>
      <c r="H75" s="41"/>
      <c r="I75" s="41"/>
      <c r="J75" s="41"/>
      <c r="K75" s="41"/>
      <c r="L75" s="41"/>
      <c r="M75" s="41"/>
      <c r="N75" s="41">
        <v>74</v>
      </c>
      <c r="O75" s="12" t="s">
        <v>150</v>
      </c>
      <c r="Q75" s="41"/>
    </row>
    <row r="76" spans="4:17" ht="13.8" x14ac:dyDescent="0.25">
      <c r="D76" s="39">
        <v>77</v>
      </c>
      <c r="E76" s="41" t="s">
        <v>379</v>
      </c>
      <c r="F76" s="41" t="s">
        <v>380</v>
      </c>
      <c r="G76" s="41"/>
      <c r="H76" s="41"/>
      <c r="I76" s="41"/>
      <c r="J76" s="41"/>
      <c r="K76" s="41"/>
      <c r="L76" s="41"/>
      <c r="M76" s="41"/>
      <c r="N76" s="41">
        <v>75</v>
      </c>
      <c r="O76" s="11" t="s">
        <v>151</v>
      </c>
      <c r="Q76" s="41"/>
    </row>
    <row r="77" spans="4:17" ht="13.8" x14ac:dyDescent="0.25">
      <c r="D77" s="39">
        <v>78</v>
      </c>
      <c r="E77" s="41" t="s">
        <v>381</v>
      </c>
      <c r="F77" s="41" t="s">
        <v>382</v>
      </c>
      <c r="G77" s="41"/>
      <c r="H77" s="41"/>
      <c r="I77" s="41"/>
      <c r="J77" s="41"/>
      <c r="K77" s="41"/>
      <c r="L77" s="41"/>
      <c r="M77" s="41"/>
      <c r="N77" s="41">
        <v>76</v>
      </c>
      <c r="O77" s="11" t="s">
        <v>152</v>
      </c>
      <c r="Q77" s="41"/>
    </row>
    <row r="78" spans="4:17" ht="13.8" x14ac:dyDescent="0.25">
      <c r="D78" s="39">
        <v>79</v>
      </c>
      <c r="E78" s="41" t="s">
        <v>383</v>
      </c>
      <c r="F78" s="41" t="s">
        <v>376</v>
      </c>
      <c r="G78" s="41"/>
      <c r="H78" s="41"/>
      <c r="I78" s="41"/>
      <c r="J78" s="41"/>
      <c r="K78" s="41"/>
      <c r="L78" s="41"/>
      <c r="M78" s="41"/>
      <c r="N78" s="41">
        <v>77</v>
      </c>
      <c r="O78" s="11" t="s">
        <v>153</v>
      </c>
      <c r="Q78" s="41"/>
    </row>
    <row r="79" spans="4:17" ht="13.8" x14ac:dyDescent="0.25">
      <c r="D79" s="39">
        <v>80</v>
      </c>
      <c r="E79" s="41" t="s">
        <v>384</v>
      </c>
      <c r="F79" s="41" t="s">
        <v>385</v>
      </c>
      <c r="G79" s="41"/>
      <c r="H79" s="41"/>
      <c r="I79" s="41"/>
      <c r="J79" s="41"/>
      <c r="K79" s="41"/>
      <c r="L79" s="41"/>
      <c r="M79" s="41"/>
      <c r="N79" s="41">
        <v>78</v>
      </c>
      <c r="O79" s="11" t="s">
        <v>154</v>
      </c>
      <c r="Q79" s="41"/>
    </row>
    <row r="80" spans="4:17" ht="13.8" x14ac:dyDescent="0.25">
      <c r="D80" s="39">
        <v>81</v>
      </c>
      <c r="E80" s="41" t="s">
        <v>386</v>
      </c>
      <c r="F80" s="41" t="s">
        <v>387</v>
      </c>
      <c r="G80" s="41"/>
      <c r="H80" s="41"/>
      <c r="I80" s="41"/>
      <c r="J80" s="41"/>
      <c r="K80" s="41"/>
      <c r="L80" s="41"/>
      <c r="M80" s="41"/>
      <c r="N80" s="41">
        <v>79</v>
      </c>
      <c r="O80" s="11" t="s">
        <v>155</v>
      </c>
      <c r="Q80" s="41"/>
    </row>
    <row r="81" spans="4:17" ht="13.8" x14ac:dyDescent="0.25">
      <c r="D81" s="39">
        <v>82</v>
      </c>
      <c r="E81" s="41" t="s">
        <v>388</v>
      </c>
      <c r="F81" s="41" t="s">
        <v>389</v>
      </c>
      <c r="G81" s="41"/>
      <c r="H81" s="41"/>
      <c r="I81" s="41"/>
      <c r="J81" s="41"/>
      <c r="K81" s="41"/>
      <c r="L81" s="41"/>
      <c r="M81" s="41"/>
      <c r="N81" s="41">
        <v>80</v>
      </c>
      <c r="O81" s="11" t="s">
        <v>156</v>
      </c>
      <c r="Q81" s="41"/>
    </row>
    <row r="82" spans="4:17" ht="13.8" x14ac:dyDescent="0.25">
      <c r="D82" s="39">
        <v>83</v>
      </c>
      <c r="E82" s="41" t="s">
        <v>390</v>
      </c>
      <c r="F82" s="41" t="s">
        <v>391</v>
      </c>
      <c r="G82" s="41"/>
      <c r="H82" s="41"/>
      <c r="I82" s="41"/>
      <c r="J82" s="41"/>
      <c r="K82" s="41"/>
      <c r="L82" s="41"/>
      <c r="M82" s="41"/>
      <c r="N82" s="41">
        <v>81</v>
      </c>
      <c r="O82" s="11" t="s">
        <v>157</v>
      </c>
      <c r="Q82" s="41"/>
    </row>
    <row r="83" spans="4:17" ht="13.8" x14ac:dyDescent="0.25">
      <c r="D83" s="39">
        <v>84</v>
      </c>
      <c r="E83" s="41" t="s">
        <v>392</v>
      </c>
      <c r="F83" s="41" t="s">
        <v>393</v>
      </c>
      <c r="G83" s="41"/>
      <c r="H83" s="41"/>
      <c r="I83" s="41"/>
      <c r="J83" s="41"/>
      <c r="K83" s="41"/>
      <c r="L83" s="41"/>
      <c r="M83" s="41"/>
      <c r="N83" s="41">
        <v>82</v>
      </c>
      <c r="O83" s="12" t="s">
        <v>158</v>
      </c>
      <c r="Q83" s="41"/>
    </row>
    <row r="84" spans="4:17" ht="13.8" x14ac:dyDescent="0.25">
      <c r="D84" s="39">
        <v>85</v>
      </c>
      <c r="E84" s="41" t="s">
        <v>394</v>
      </c>
      <c r="F84" s="41" t="s">
        <v>395</v>
      </c>
      <c r="G84" s="41"/>
      <c r="H84" s="41"/>
      <c r="I84" s="41"/>
      <c r="J84" s="41"/>
      <c r="K84" s="41"/>
      <c r="L84" s="41"/>
      <c r="M84" s="41"/>
      <c r="N84" s="41">
        <v>83</v>
      </c>
      <c r="O84" s="11" t="s">
        <v>159</v>
      </c>
      <c r="Q84" s="41"/>
    </row>
    <row r="85" spans="4:17" ht="13.8" x14ac:dyDescent="0.25">
      <c r="D85" s="39">
        <v>86</v>
      </c>
      <c r="E85" s="41" t="s">
        <v>396</v>
      </c>
      <c r="F85" s="41" t="s">
        <v>397</v>
      </c>
      <c r="G85" s="41"/>
      <c r="H85" s="41"/>
      <c r="I85" s="41"/>
      <c r="J85" s="41"/>
      <c r="K85" s="41"/>
      <c r="L85" s="41"/>
      <c r="M85" s="41"/>
      <c r="N85" s="41">
        <v>84</v>
      </c>
      <c r="O85" s="11" t="s">
        <v>160</v>
      </c>
      <c r="Q85" s="41"/>
    </row>
    <row r="86" spans="4:17" ht="13.8" x14ac:dyDescent="0.25">
      <c r="D86" s="39">
        <v>87</v>
      </c>
      <c r="E86" s="41" t="s">
        <v>398</v>
      </c>
      <c r="F86" s="41" t="s">
        <v>399</v>
      </c>
      <c r="G86" s="41"/>
      <c r="H86" s="41"/>
      <c r="I86" s="41"/>
      <c r="J86" s="41"/>
      <c r="K86" s="41"/>
      <c r="L86" s="41"/>
      <c r="M86" s="41"/>
      <c r="N86" s="41">
        <v>85</v>
      </c>
      <c r="O86" s="11" t="s">
        <v>161</v>
      </c>
      <c r="Q86" s="41"/>
    </row>
    <row r="87" spans="4:17" ht="13.8" x14ac:dyDescent="0.25">
      <c r="D87" s="39">
        <v>88</v>
      </c>
      <c r="E87" s="41" t="s">
        <v>400</v>
      </c>
      <c r="F87" s="41" t="s">
        <v>387</v>
      </c>
      <c r="G87" s="41"/>
      <c r="H87" s="41"/>
      <c r="I87" s="41"/>
      <c r="J87" s="41"/>
      <c r="K87" s="41"/>
      <c r="L87" s="41"/>
      <c r="M87" s="41"/>
      <c r="N87" s="41">
        <v>86</v>
      </c>
      <c r="O87" s="13" t="s">
        <v>162</v>
      </c>
      <c r="Q87" s="41"/>
    </row>
    <row r="88" spans="4:17" ht="13.8" x14ac:dyDescent="0.25">
      <c r="D88" s="39">
        <v>89</v>
      </c>
      <c r="E88" s="41" t="s">
        <v>401</v>
      </c>
      <c r="F88" s="41" t="s">
        <v>389</v>
      </c>
      <c r="G88" s="41"/>
      <c r="H88" s="41"/>
      <c r="I88" s="41"/>
      <c r="J88" s="41"/>
      <c r="K88" s="41"/>
      <c r="L88" s="41"/>
      <c r="M88" s="41"/>
      <c r="N88" s="41">
        <v>87</v>
      </c>
      <c r="O88" s="13" t="s">
        <v>163</v>
      </c>
      <c r="Q88" s="41"/>
    </row>
    <row r="89" spans="4:17" ht="13.8" x14ac:dyDescent="0.25">
      <c r="D89" s="39">
        <v>90</v>
      </c>
      <c r="E89" s="41" t="s">
        <v>402</v>
      </c>
      <c r="F89" s="41" t="s">
        <v>403</v>
      </c>
      <c r="G89" s="41"/>
      <c r="H89" s="41"/>
      <c r="I89" s="41"/>
      <c r="J89" s="41"/>
      <c r="K89" s="41"/>
      <c r="L89" s="41"/>
      <c r="M89" s="41"/>
      <c r="N89" s="41">
        <v>88</v>
      </c>
      <c r="O89" s="13" t="s">
        <v>164</v>
      </c>
      <c r="Q89" s="41"/>
    </row>
    <row r="90" spans="4:17" ht="13.8" x14ac:dyDescent="0.25">
      <c r="D90" s="39">
        <v>91</v>
      </c>
      <c r="E90" s="41" t="s">
        <v>404</v>
      </c>
      <c r="F90" s="41" t="s">
        <v>405</v>
      </c>
      <c r="G90" s="41"/>
      <c r="H90" s="41"/>
      <c r="I90" s="41"/>
      <c r="J90" s="41"/>
      <c r="K90" s="41"/>
      <c r="L90" s="41"/>
      <c r="M90" s="41"/>
      <c r="N90" s="41">
        <v>89</v>
      </c>
      <c r="O90" s="12" t="s">
        <v>165</v>
      </c>
      <c r="Q90" s="41"/>
    </row>
    <row r="91" spans="4:17" ht="13.8" x14ac:dyDescent="0.25">
      <c r="D91" s="39">
        <v>92</v>
      </c>
      <c r="E91" s="41" t="s">
        <v>406</v>
      </c>
      <c r="F91" s="41" t="s">
        <v>407</v>
      </c>
      <c r="G91" s="41"/>
      <c r="H91" s="41"/>
      <c r="I91" s="41"/>
      <c r="J91" s="41"/>
      <c r="K91" s="41"/>
      <c r="L91" s="41"/>
      <c r="M91" s="41"/>
      <c r="N91" s="41">
        <v>90</v>
      </c>
      <c r="O91" s="11" t="s">
        <v>166</v>
      </c>
      <c r="Q91" s="41"/>
    </row>
    <row r="92" spans="4:17" ht="13.8" x14ac:dyDescent="0.25">
      <c r="D92" s="39">
        <v>93</v>
      </c>
      <c r="E92" s="41" t="s">
        <v>408</v>
      </c>
      <c r="F92" s="41" t="s">
        <v>409</v>
      </c>
      <c r="G92" s="41"/>
      <c r="H92" s="41"/>
      <c r="I92" s="41"/>
      <c r="J92" s="41"/>
      <c r="K92" s="41"/>
      <c r="L92" s="41"/>
      <c r="M92" s="41"/>
      <c r="N92" s="41">
        <v>91</v>
      </c>
      <c r="O92" s="11" t="s">
        <v>167</v>
      </c>
      <c r="Q92" s="41"/>
    </row>
    <row r="93" spans="4:17" ht="13.8" x14ac:dyDescent="0.25">
      <c r="D93" s="39">
        <v>94</v>
      </c>
      <c r="E93" s="41" t="s">
        <v>410</v>
      </c>
      <c r="F93" s="41" t="s">
        <v>385</v>
      </c>
      <c r="G93" s="41"/>
      <c r="H93" s="41"/>
      <c r="I93" s="41"/>
      <c r="J93" s="41"/>
      <c r="K93" s="41"/>
      <c r="L93" s="41"/>
      <c r="M93" s="41"/>
      <c r="N93" s="41">
        <v>92</v>
      </c>
      <c r="O93" s="11" t="s">
        <v>168</v>
      </c>
      <c r="Q93" s="41"/>
    </row>
    <row r="94" spans="4:17" ht="13.8" x14ac:dyDescent="0.25">
      <c r="D94" s="39">
        <v>95</v>
      </c>
      <c r="E94" s="41" t="s">
        <v>411</v>
      </c>
      <c r="F94" s="41" t="s">
        <v>412</v>
      </c>
      <c r="G94" s="41"/>
      <c r="H94" s="41"/>
      <c r="I94" s="41"/>
      <c r="J94" s="41"/>
      <c r="K94" s="41"/>
      <c r="L94" s="41"/>
      <c r="M94" s="41"/>
      <c r="N94" s="41">
        <v>93</v>
      </c>
      <c r="O94" s="11" t="s">
        <v>169</v>
      </c>
      <c r="Q94" s="41"/>
    </row>
    <row r="95" spans="4:17" ht="13.8" x14ac:dyDescent="0.25">
      <c r="D95" s="39">
        <v>96</v>
      </c>
      <c r="E95" s="41" t="s">
        <v>413</v>
      </c>
      <c r="F95" s="41" t="s">
        <v>414</v>
      </c>
      <c r="G95" s="41"/>
      <c r="H95" s="41"/>
      <c r="I95" s="41"/>
      <c r="J95" s="41"/>
      <c r="K95" s="41"/>
      <c r="L95" s="41"/>
      <c r="M95" s="41"/>
      <c r="N95" s="41">
        <v>94</v>
      </c>
      <c r="O95" s="11" t="s">
        <v>170</v>
      </c>
      <c r="Q95" s="41"/>
    </row>
    <row r="96" spans="4:17" ht="13.8" x14ac:dyDescent="0.25">
      <c r="D96" s="39">
        <v>97</v>
      </c>
      <c r="E96" s="41" t="s">
        <v>415</v>
      </c>
      <c r="F96" s="41" t="s">
        <v>416</v>
      </c>
      <c r="G96" s="41"/>
      <c r="H96" s="41"/>
      <c r="I96" s="41"/>
      <c r="J96" s="41"/>
      <c r="K96" s="41"/>
      <c r="L96" s="41"/>
      <c r="M96" s="41"/>
      <c r="N96" s="41">
        <v>95</v>
      </c>
      <c r="O96" s="11" t="s">
        <v>171</v>
      </c>
      <c r="Q96" s="41"/>
    </row>
    <row r="97" spans="4:17" ht="13.8" x14ac:dyDescent="0.25">
      <c r="D97" s="39">
        <v>98</v>
      </c>
      <c r="E97" s="41" t="s">
        <v>417</v>
      </c>
      <c r="F97" s="41" t="s">
        <v>418</v>
      </c>
      <c r="G97" s="41"/>
      <c r="H97" s="41"/>
      <c r="I97" s="41"/>
      <c r="J97" s="41"/>
      <c r="K97" s="41"/>
      <c r="L97" s="41"/>
      <c r="M97" s="41"/>
      <c r="N97" s="41">
        <v>96</v>
      </c>
      <c r="O97" s="11" t="s">
        <v>172</v>
      </c>
      <c r="Q97" s="41"/>
    </row>
    <row r="98" spans="4:17" ht="13.8" x14ac:dyDescent="0.25">
      <c r="D98" s="39">
        <v>99</v>
      </c>
      <c r="E98" s="41" t="s">
        <v>419</v>
      </c>
      <c r="F98" s="41" t="s">
        <v>420</v>
      </c>
      <c r="G98" s="41"/>
      <c r="H98" s="41"/>
      <c r="I98" s="41"/>
      <c r="J98" s="41"/>
      <c r="K98" s="41"/>
      <c r="L98" s="41"/>
      <c r="M98" s="41"/>
      <c r="N98" s="41">
        <v>97</v>
      </c>
      <c r="O98" s="11" t="s">
        <v>173</v>
      </c>
      <c r="Q98" s="41"/>
    </row>
    <row r="99" spans="4:17" ht="13.8" x14ac:dyDescent="0.25">
      <c r="D99" s="39">
        <v>100</v>
      </c>
      <c r="E99" s="41" t="s">
        <v>421</v>
      </c>
      <c r="F99" s="41" t="s">
        <v>422</v>
      </c>
      <c r="G99" s="41"/>
      <c r="H99" s="41"/>
      <c r="I99" s="41"/>
      <c r="J99" s="41"/>
      <c r="K99" s="41"/>
      <c r="L99" s="41"/>
      <c r="M99" s="41"/>
      <c r="N99" s="41">
        <v>98</v>
      </c>
      <c r="O99" s="14" t="s">
        <v>174</v>
      </c>
      <c r="Q99" s="41"/>
    </row>
    <row r="100" spans="4:17" ht="13.8" x14ac:dyDescent="0.25">
      <c r="D100" s="39">
        <v>101</v>
      </c>
      <c r="E100" s="41" t="s">
        <v>423</v>
      </c>
      <c r="F100" s="41" t="s">
        <v>424</v>
      </c>
      <c r="G100" s="41"/>
      <c r="H100" s="41"/>
      <c r="I100" s="41"/>
      <c r="J100" s="41"/>
      <c r="K100" s="41"/>
      <c r="L100" s="41"/>
      <c r="M100" s="41"/>
      <c r="N100" s="41">
        <v>99</v>
      </c>
      <c r="O100" s="11" t="s">
        <v>175</v>
      </c>
      <c r="Q100" s="41"/>
    </row>
    <row r="101" spans="4:17" ht="13.8" x14ac:dyDescent="0.25">
      <c r="D101" s="39">
        <v>102</v>
      </c>
      <c r="E101" s="41" t="s">
        <v>425</v>
      </c>
      <c r="F101" s="41" t="s">
        <v>426</v>
      </c>
      <c r="G101" s="41"/>
      <c r="H101" s="41"/>
      <c r="I101" s="41"/>
      <c r="J101" s="41"/>
      <c r="K101" s="41"/>
      <c r="L101" s="41"/>
      <c r="M101" s="41"/>
      <c r="N101" s="41">
        <v>100</v>
      </c>
      <c r="O101" s="11" t="s">
        <v>176</v>
      </c>
      <c r="Q101" s="41"/>
    </row>
    <row r="102" spans="4:17" ht="13.8" x14ac:dyDescent="0.25">
      <c r="D102" s="39">
        <v>103</v>
      </c>
      <c r="E102" s="41" t="s">
        <v>427</v>
      </c>
      <c r="F102" s="41" t="s">
        <v>428</v>
      </c>
      <c r="G102" s="41"/>
      <c r="H102" s="41"/>
      <c r="I102" s="41"/>
      <c r="J102" s="41"/>
      <c r="K102" s="41"/>
      <c r="L102" s="41"/>
      <c r="M102" s="41"/>
      <c r="N102" s="41">
        <v>101</v>
      </c>
      <c r="O102" s="11" t="s">
        <v>177</v>
      </c>
      <c r="Q102" s="41"/>
    </row>
    <row r="103" spans="4:17" ht="13.8" x14ac:dyDescent="0.25">
      <c r="D103" s="39">
        <v>104</v>
      </c>
      <c r="E103" s="41" t="s">
        <v>739</v>
      </c>
      <c r="F103" s="41" t="s">
        <v>606</v>
      </c>
      <c r="G103" s="41"/>
      <c r="H103" s="41"/>
      <c r="I103" s="41"/>
      <c r="J103" s="41"/>
      <c r="K103" s="41"/>
      <c r="L103" s="41"/>
      <c r="M103" s="41"/>
      <c r="N103" s="41">
        <v>102</v>
      </c>
      <c r="O103" s="11" t="s">
        <v>178</v>
      </c>
      <c r="Q103" s="41"/>
    </row>
    <row r="104" spans="4:17" ht="13.8" x14ac:dyDescent="0.25">
      <c r="D104" s="39">
        <v>105</v>
      </c>
      <c r="E104" s="41" t="s">
        <v>738</v>
      </c>
      <c r="F104" s="41" t="s">
        <v>600</v>
      </c>
      <c r="G104" s="41"/>
      <c r="H104" s="41"/>
      <c r="I104" s="41"/>
      <c r="J104" s="41"/>
      <c r="K104" s="41"/>
      <c r="L104" s="41"/>
      <c r="M104" s="41"/>
      <c r="N104" s="41">
        <v>103</v>
      </c>
      <c r="O104" s="11" t="s">
        <v>179</v>
      </c>
      <c r="Q104" s="41"/>
    </row>
    <row r="105" spans="4:17" ht="13.8" x14ac:dyDescent="0.25">
      <c r="D105" s="39">
        <v>106</v>
      </c>
      <c r="E105" s="41" t="s">
        <v>737</v>
      </c>
      <c r="F105" s="41" t="s">
        <v>599</v>
      </c>
      <c r="G105" s="41"/>
      <c r="H105" s="41"/>
      <c r="I105" s="41"/>
      <c r="J105" s="41"/>
      <c r="K105" s="41"/>
      <c r="M105" s="41"/>
      <c r="N105" s="41">
        <v>104</v>
      </c>
      <c r="O105" s="11" t="s">
        <v>180</v>
      </c>
      <c r="Q105" s="41"/>
    </row>
    <row r="106" spans="4:17" ht="13.8" x14ac:dyDescent="0.25">
      <c r="D106" s="39">
        <v>107</v>
      </c>
      <c r="E106" s="41" t="s">
        <v>717</v>
      </c>
      <c r="F106" s="41" t="s">
        <v>718</v>
      </c>
      <c r="N106" s="41">
        <v>105</v>
      </c>
      <c r="O106" s="11" t="s">
        <v>181</v>
      </c>
      <c r="Q106" s="41"/>
    </row>
    <row r="107" spans="4:17" ht="13.8" x14ac:dyDescent="0.25">
      <c r="D107" s="39">
        <v>108</v>
      </c>
      <c r="E107" s="41" t="s">
        <v>736</v>
      </c>
      <c r="F107" s="41" t="s">
        <v>604</v>
      </c>
      <c r="N107" s="41">
        <v>106</v>
      </c>
      <c r="O107" s="14" t="s">
        <v>182</v>
      </c>
      <c r="Q107" s="41"/>
    </row>
    <row r="108" spans="4:17" ht="13.8" x14ac:dyDescent="0.25">
      <c r="D108" s="39">
        <v>109</v>
      </c>
      <c r="E108" s="41" t="s">
        <v>722</v>
      </c>
      <c r="F108" s="41" t="s">
        <v>601</v>
      </c>
      <c r="N108" s="41">
        <v>107</v>
      </c>
      <c r="O108" s="14" t="s">
        <v>183</v>
      </c>
      <c r="Q108" s="41"/>
    </row>
    <row r="109" spans="4:17" ht="13.8" x14ac:dyDescent="0.25">
      <c r="D109" s="39">
        <v>110</v>
      </c>
      <c r="E109" s="41" t="s">
        <v>735</v>
      </c>
      <c r="F109" s="41" t="s">
        <v>723</v>
      </c>
      <c r="N109" s="41">
        <v>108</v>
      </c>
      <c r="O109" s="14" t="s">
        <v>184</v>
      </c>
      <c r="Q109" s="41"/>
    </row>
    <row r="110" spans="4:17" ht="13.8" x14ac:dyDescent="0.25">
      <c r="D110" s="39">
        <v>111</v>
      </c>
      <c r="E110" s="41" t="s">
        <v>734</v>
      </c>
      <c r="F110" s="9" t="s">
        <v>704</v>
      </c>
      <c r="N110" s="41">
        <v>109</v>
      </c>
      <c r="O110" s="12" t="s">
        <v>185</v>
      </c>
      <c r="Q110" s="41"/>
    </row>
    <row r="111" spans="4:17" ht="13.8" x14ac:dyDescent="0.25">
      <c r="D111" s="39">
        <v>112</v>
      </c>
      <c r="E111" s="41" t="s">
        <v>761</v>
      </c>
      <c r="F111" s="41" t="s">
        <v>762</v>
      </c>
      <c r="N111" s="41">
        <v>110</v>
      </c>
      <c r="O111" s="12" t="s">
        <v>186</v>
      </c>
      <c r="Q111" s="41"/>
    </row>
    <row r="112" spans="4:17" ht="13.8" x14ac:dyDescent="0.25">
      <c r="D112" s="39">
        <v>113</v>
      </c>
      <c r="E112" s="41" t="s">
        <v>733</v>
      </c>
      <c r="F112" s="41" t="s">
        <v>702</v>
      </c>
      <c r="N112" s="41">
        <v>111</v>
      </c>
      <c r="O112" s="12" t="s">
        <v>187</v>
      </c>
      <c r="Q112" s="41"/>
    </row>
    <row r="113" spans="4:17" ht="13.8" x14ac:dyDescent="0.25">
      <c r="D113" s="39">
        <v>114</v>
      </c>
      <c r="E113" s="41" t="s">
        <v>701</v>
      </c>
      <c r="F113" s="41" t="s">
        <v>742</v>
      </c>
      <c r="N113" s="41">
        <v>112</v>
      </c>
      <c r="O113" s="14" t="s">
        <v>188</v>
      </c>
      <c r="Q113" s="41"/>
    </row>
    <row r="114" spans="4:17" ht="13.8" x14ac:dyDescent="0.25">
      <c r="D114" s="39">
        <v>115</v>
      </c>
      <c r="E114" s="41" t="s">
        <v>771</v>
      </c>
      <c r="F114" s="41" t="s">
        <v>772</v>
      </c>
      <c r="L114" s="41"/>
      <c r="N114" s="41">
        <v>113</v>
      </c>
      <c r="O114" s="14" t="s">
        <v>189</v>
      </c>
      <c r="Q114" s="41"/>
    </row>
    <row r="115" spans="4:17" ht="13.8" x14ac:dyDescent="0.25">
      <c r="D115" s="39">
        <v>116</v>
      </c>
      <c r="E115" s="41" t="s">
        <v>777</v>
      </c>
      <c r="F115" s="41" t="s">
        <v>778</v>
      </c>
      <c r="G115" s="41"/>
      <c r="H115" s="41"/>
      <c r="I115" s="41"/>
      <c r="J115" s="41"/>
      <c r="K115" s="41"/>
      <c r="L115" s="41"/>
      <c r="M115" s="41"/>
      <c r="N115" s="41">
        <v>114</v>
      </c>
      <c r="O115" s="14" t="s">
        <v>190</v>
      </c>
      <c r="Q115" s="41"/>
    </row>
    <row r="116" spans="4:17" ht="13.8" x14ac:dyDescent="0.25">
      <c r="D116" s="39">
        <v>116</v>
      </c>
      <c r="E116" s="41" t="s">
        <v>719</v>
      </c>
      <c r="F116" s="41" t="s">
        <v>716</v>
      </c>
      <c r="G116" s="41"/>
      <c r="H116" s="41"/>
      <c r="I116" s="41"/>
      <c r="J116" s="41"/>
      <c r="K116" s="41"/>
      <c r="L116" s="41"/>
      <c r="M116" s="41"/>
      <c r="N116" s="41">
        <v>115</v>
      </c>
      <c r="O116" s="14" t="s">
        <v>191</v>
      </c>
      <c r="Q116" s="41"/>
    </row>
    <row r="117" spans="4:17" ht="13.8" x14ac:dyDescent="0.25">
      <c r="D117" s="39">
        <v>117</v>
      </c>
      <c r="E117" s="41" t="s">
        <v>724</v>
      </c>
      <c r="F117" s="41" t="s">
        <v>725</v>
      </c>
      <c r="G117" s="41"/>
      <c r="H117" s="41"/>
      <c r="I117" s="41"/>
      <c r="J117" s="41"/>
      <c r="K117" s="41"/>
      <c r="L117" s="41"/>
      <c r="M117" s="41"/>
      <c r="N117" s="41">
        <v>116</v>
      </c>
      <c r="O117" s="14" t="s">
        <v>192</v>
      </c>
      <c r="Q117" s="41"/>
    </row>
    <row r="118" spans="4:17" ht="13.8" x14ac:dyDescent="0.25">
      <c r="D118" s="39">
        <v>119</v>
      </c>
      <c r="E118" s="41" t="s">
        <v>732</v>
      </c>
      <c r="F118" s="9" t="s">
        <v>611</v>
      </c>
      <c r="G118" s="41"/>
      <c r="H118" s="41"/>
      <c r="I118" s="41"/>
      <c r="J118" s="41"/>
      <c r="K118" s="41"/>
      <c r="M118" s="41"/>
      <c r="N118" s="41">
        <v>117</v>
      </c>
      <c r="O118" s="14" t="s">
        <v>193</v>
      </c>
      <c r="Q118" s="41"/>
    </row>
    <row r="119" spans="4:17" ht="13.8" x14ac:dyDescent="0.25">
      <c r="D119" s="39">
        <v>120</v>
      </c>
      <c r="E119" s="41" t="s">
        <v>731</v>
      </c>
      <c r="F119" s="9" t="s">
        <v>612</v>
      </c>
      <c r="N119" s="41">
        <v>118</v>
      </c>
      <c r="O119" s="14" t="s">
        <v>194</v>
      </c>
      <c r="Q119" s="41"/>
    </row>
    <row r="120" spans="4:17" ht="13.8" x14ac:dyDescent="0.25">
      <c r="D120" s="39">
        <v>121</v>
      </c>
      <c r="E120" s="41" t="s">
        <v>767</v>
      </c>
      <c r="F120" s="135" t="s">
        <v>768</v>
      </c>
      <c r="N120" s="41">
        <v>119</v>
      </c>
      <c r="O120" s="12" t="s">
        <v>195</v>
      </c>
      <c r="Q120" s="41"/>
    </row>
    <row r="121" spans="4:17" ht="13.8" x14ac:dyDescent="0.25">
      <c r="D121" s="39">
        <v>122</v>
      </c>
      <c r="E121" s="41" t="s">
        <v>785</v>
      </c>
      <c r="F121" s="9" t="s">
        <v>786</v>
      </c>
      <c r="N121" s="41">
        <v>120</v>
      </c>
      <c r="O121" s="12" t="s">
        <v>196</v>
      </c>
      <c r="Q121" s="41"/>
    </row>
    <row r="122" spans="4:17" ht="13.8" x14ac:dyDescent="0.25">
      <c r="D122" s="39">
        <v>123</v>
      </c>
      <c r="E122" s="41" t="s">
        <v>730</v>
      </c>
      <c r="F122" s="9" t="s">
        <v>613</v>
      </c>
      <c r="N122" s="41">
        <v>121</v>
      </c>
      <c r="O122" s="12" t="s">
        <v>197</v>
      </c>
      <c r="Q122" s="41"/>
    </row>
    <row r="123" spans="4:17" ht="13.8" x14ac:dyDescent="0.25">
      <c r="D123" s="39">
        <v>124</v>
      </c>
      <c r="E123" s="41" t="s">
        <v>779</v>
      </c>
      <c r="F123" s="136" t="s">
        <v>780</v>
      </c>
      <c r="N123" s="41">
        <v>122</v>
      </c>
      <c r="O123" s="12" t="s">
        <v>198</v>
      </c>
      <c r="Q123" s="41"/>
    </row>
    <row r="124" spans="4:17" ht="13.8" x14ac:dyDescent="0.25">
      <c r="D124" s="39">
        <v>125</v>
      </c>
      <c r="E124" s="41" t="s">
        <v>729</v>
      </c>
      <c r="F124" s="9" t="s">
        <v>614</v>
      </c>
      <c r="N124" s="41">
        <v>123</v>
      </c>
      <c r="O124" s="12" t="s">
        <v>199</v>
      </c>
      <c r="Q124" s="41"/>
    </row>
    <row r="125" spans="4:17" ht="13.8" x14ac:dyDescent="0.25">
      <c r="D125" s="39">
        <v>126</v>
      </c>
      <c r="E125" s="41" t="s">
        <v>801</v>
      </c>
      <c r="F125" s="9" t="s">
        <v>800</v>
      </c>
      <c r="N125" s="41">
        <v>124</v>
      </c>
      <c r="O125" s="12" t="s">
        <v>200</v>
      </c>
      <c r="Q125" s="41"/>
    </row>
    <row r="126" spans="4:17" ht="13.8" x14ac:dyDescent="0.25">
      <c r="D126" s="39">
        <v>127</v>
      </c>
      <c r="E126" s="41" t="s">
        <v>793</v>
      </c>
      <c r="F126" s="9" t="s">
        <v>792</v>
      </c>
      <c r="N126" s="41">
        <v>125</v>
      </c>
      <c r="O126" s="12" t="s">
        <v>201</v>
      </c>
      <c r="Q126" s="41"/>
    </row>
    <row r="127" spans="4:17" ht="13.8" x14ac:dyDescent="0.25">
      <c r="D127" s="39">
        <v>128</v>
      </c>
      <c r="E127" s="41" t="s">
        <v>790</v>
      </c>
      <c r="F127" s="9" t="s">
        <v>791</v>
      </c>
      <c r="N127" s="41">
        <v>126</v>
      </c>
      <c r="O127" s="12" t="s">
        <v>202</v>
      </c>
      <c r="Q127" s="41"/>
    </row>
    <row r="128" spans="4:17" ht="13.8" x14ac:dyDescent="0.25">
      <c r="D128" s="39">
        <v>128</v>
      </c>
      <c r="E128" s="41" t="s">
        <v>803</v>
      </c>
      <c r="F128" s="137" t="s">
        <v>802</v>
      </c>
      <c r="N128" s="41">
        <v>127</v>
      </c>
      <c r="O128" s="12" t="s">
        <v>203</v>
      </c>
      <c r="Q128" s="41"/>
    </row>
    <row r="129" spans="4:17" ht="13.8" x14ac:dyDescent="0.25">
      <c r="D129" s="39">
        <v>129</v>
      </c>
      <c r="E129" s="41" t="s">
        <v>798</v>
      </c>
      <c r="F129" s="9" t="s">
        <v>799</v>
      </c>
      <c r="N129" s="41">
        <v>128</v>
      </c>
      <c r="O129" s="12" t="s">
        <v>204</v>
      </c>
      <c r="Q129" s="41"/>
    </row>
    <row r="130" spans="4:17" ht="13.8" x14ac:dyDescent="0.25">
      <c r="D130" s="39">
        <v>130</v>
      </c>
      <c r="E130" s="41" t="s">
        <v>783</v>
      </c>
      <c r="F130" s="9" t="s">
        <v>782</v>
      </c>
      <c r="N130" s="41">
        <v>129</v>
      </c>
      <c r="O130" s="12" t="s">
        <v>205</v>
      </c>
      <c r="Q130" s="41"/>
    </row>
    <row r="131" spans="4:17" ht="13.8" x14ac:dyDescent="0.25">
      <c r="D131" s="39">
        <v>131</v>
      </c>
      <c r="E131" s="41" t="s">
        <v>774</v>
      </c>
      <c r="F131" s="9" t="s">
        <v>773</v>
      </c>
      <c r="N131" s="41">
        <v>130</v>
      </c>
      <c r="O131" s="12" t="s">
        <v>206</v>
      </c>
      <c r="Q131" s="41"/>
    </row>
    <row r="132" spans="4:17" ht="13.8" x14ac:dyDescent="0.25">
      <c r="D132" s="39"/>
      <c r="E132" s="41"/>
      <c r="F132" s="9"/>
      <c r="N132" s="41">
        <v>131</v>
      </c>
      <c r="O132" s="12" t="s">
        <v>207</v>
      </c>
      <c r="Q132" s="41"/>
    </row>
    <row r="133" spans="4:17" ht="13.8" x14ac:dyDescent="0.25">
      <c r="D133" s="39"/>
      <c r="E133" s="41"/>
      <c r="F133" s="9"/>
      <c r="N133" s="41">
        <v>132</v>
      </c>
      <c r="O133" s="12" t="s">
        <v>208</v>
      </c>
      <c r="Q133" s="41"/>
    </row>
    <row r="134" spans="4:17" ht="13.8" x14ac:dyDescent="0.25">
      <c r="D134" s="39"/>
      <c r="E134" s="41"/>
      <c r="F134" s="9"/>
      <c r="N134" s="41">
        <v>133</v>
      </c>
      <c r="O134" s="12" t="s">
        <v>209</v>
      </c>
      <c r="Q134" s="41"/>
    </row>
    <row r="135" spans="4:17" x14ac:dyDescent="0.25">
      <c r="N135" s="41">
        <v>134</v>
      </c>
      <c r="O135" s="12" t="s">
        <v>210</v>
      </c>
      <c r="Q135" s="41"/>
    </row>
    <row r="136" spans="4:17" x14ac:dyDescent="0.25">
      <c r="N136" s="41">
        <v>135</v>
      </c>
      <c r="O136" s="11" t="s">
        <v>211</v>
      </c>
      <c r="Q136" s="41"/>
    </row>
    <row r="137" spans="4:17" x14ac:dyDescent="0.25">
      <c r="N137" s="41">
        <v>136</v>
      </c>
      <c r="O137" s="11" t="s">
        <v>212</v>
      </c>
      <c r="Q137" s="41"/>
    </row>
    <row r="138" spans="4:17" x14ac:dyDescent="0.25">
      <c r="N138" s="41">
        <v>137</v>
      </c>
      <c r="O138" s="11" t="s">
        <v>213</v>
      </c>
      <c r="Q138" s="41"/>
    </row>
    <row r="139" spans="4:17" x14ac:dyDescent="0.25">
      <c r="E139" s="41"/>
      <c r="F139" s="41"/>
      <c r="N139" s="41">
        <v>138</v>
      </c>
      <c r="O139" s="11" t="s">
        <v>214</v>
      </c>
      <c r="Q139" s="41"/>
    </row>
    <row r="140" spans="4:17" x14ac:dyDescent="0.25">
      <c r="E140" s="41"/>
      <c r="F140" s="41"/>
      <c r="N140" s="41">
        <v>139</v>
      </c>
      <c r="O140" s="11" t="s">
        <v>215</v>
      </c>
      <c r="Q140" s="41"/>
    </row>
    <row r="141" spans="4:17" x14ac:dyDescent="0.25">
      <c r="E141" s="41"/>
      <c r="F141" s="41"/>
      <c r="N141" s="41">
        <v>140</v>
      </c>
      <c r="O141" s="11" t="s">
        <v>216</v>
      </c>
      <c r="Q141" s="41"/>
    </row>
    <row r="142" spans="4:17" x14ac:dyDescent="0.25">
      <c r="E142" s="41"/>
      <c r="F142" s="41"/>
      <c r="N142" s="41">
        <v>141</v>
      </c>
      <c r="O142" s="11" t="s">
        <v>217</v>
      </c>
      <c r="Q142" s="41"/>
    </row>
    <row r="143" spans="4:17" x14ac:dyDescent="0.25">
      <c r="N143" s="41">
        <v>142</v>
      </c>
      <c r="O143" s="11" t="s">
        <v>218</v>
      </c>
      <c r="Q143" s="41"/>
    </row>
    <row r="144" spans="4:17" x14ac:dyDescent="0.25">
      <c r="N144" s="41">
        <v>143</v>
      </c>
      <c r="O144" s="11" t="s">
        <v>219</v>
      </c>
      <c r="Q144" s="41"/>
    </row>
    <row r="145" spans="14:17" x14ac:dyDescent="0.25">
      <c r="N145" s="41">
        <v>144</v>
      </c>
      <c r="O145" s="11" t="s">
        <v>220</v>
      </c>
      <c r="Q145" s="41"/>
    </row>
    <row r="146" spans="14:17" x14ac:dyDescent="0.25">
      <c r="N146" s="41">
        <v>145</v>
      </c>
      <c r="O146" s="11" t="s">
        <v>221</v>
      </c>
      <c r="Q146" s="41"/>
    </row>
    <row r="147" spans="14:17" x14ac:dyDescent="0.25">
      <c r="N147" s="41">
        <v>146</v>
      </c>
      <c r="O147" s="11" t="s">
        <v>222</v>
      </c>
      <c r="Q147" s="41"/>
    </row>
    <row r="148" spans="14:17" x14ac:dyDescent="0.25">
      <c r="N148" s="41">
        <v>147</v>
      </c>
      <c r="O148" s="13" t="s">
        <v>223</v>
      </c>
      <c r="Q148" s="41"/>
    </row>
    <row r="149" spans="14:17" x14ac:dyDescent="0.25">
      <c r="N149" s="41">
        <v>148</v>
      </c>
      <c r="O149" s="13" t="s">
        <v>224</v>
      </c>
      <c r="Q149" s="41"/>
    </row>
    <row r="150" spans="14:17" x14ac:dyDescent="0.25">
      <c r="N150" s="41">
        <v>149</v>
      </c>
      <c r="O150" s="13" t="s">
        <v>225</v>
      </c>
      <c r="Q150" s="41"/>
    </row>
    <row r="151" spans="14:17" x14ac:dyDescent="0.25">
      <c r="N151" s="41">
        <v>150</v>
      </c>
      <c r="O151" s="13" t="s">
        <v>226</v>
      </c>
      <c r="Q151" s="41"/>
    </row>
    <row r="152" spans="14:17" x14ac:dyDescent="0.25">
      <c r="N152" s="41">
        <v>151</v>
      </c>
      <c r="O152" s="13" t="s">
        <v>227</v>
      </c>
      <c r="Q152" s="41"/>
    </row>
    <row r="153" spans="14:17" x14ac:dyDescent="0.25">
      <c r="N153" s="41">
        <v>152</v>
      </c>
      <c r="O153" s="11" t="s">
        <v>228</v>
      </c>
      <c r="Q153" s="41"/>
    </row>
    <row r="154" spans="14:17" x14ac:dyDescent="0.25">
      <c r="N154" s="41">
        <v>153</v>
      </c>
      <c r="O154" s="13" t="s">
        <v>229</v>
      </c>
      <c r="Q154" s="41"/>
    </row>
    <row r="155" spans="14:17" x14ac:dyDescent="0.25">
      <c r="N155" s="41">
        <v>154</v>
      </c>
      <c r="O155" s="11" t="s">
        <v>230</v>
      </c>
      <c r="Q155" s="41"/>
    </row>
    <row r="156" spans="14:17" x14ac:dyDescent="0.25">
      <c r="N156" s="41">
        <v>155</v>
      </c>
      <c r="O156" s="11" t="s">
        <v>231</v>
      </c>
      <c r="Q156" s="41"/>
    </row>
    <row r="157" spans="14:17" x14ac:dyDescent="0.25">
      <c r="N157" s="41">
        <v>156</v>
      </c>
      <c r="O157" s="11" t="s">
        <v>232</v>
      </c>
      <c r="Q157" s="41"/>
    </row>
    <row r="158" spans="14:17" x14ac:dyDescent="0.25">
      <c r="N158" s="41">
        <v>157</v>
      </c>
      <c r="O158" s="11" t="s">
        <v>233</v>
      </c>
      <c r="Q158" s="41"/>
    </row>
    <row r="159" spans="14:17" x14ac:dyDescent="0.25">
      <c r="N159" s="41">
        <v>158</v>
      </c>
      <c r="O159" s="11" t="s">
        <v>234</v>
      </c>
      <c r="Q159" s="41"/>
    </row>
    <row r="160" spans="14:17" x14ac:dyDescent="0.25">
      <c r="N160" s="41">
        <v>159</v>
      </c>
      <c r="O160" s="11" t="s">
        <v>235</v>
      </c>
      <c r="Q160" s="41"/>
    </row>
    <row r="161" spans="14:17" x14ac:dyDescent="0.25">
      <c r="N161" s="41">
        <v>160</v>
      </c>
      <c r="O161" s="11" t="s">
        <v>236</v>
      </c>
      <c r="Q161" s="41"/>
    </row>
    <row r="162" spans="14:17" x14ac:dyDescent="0.25">
      <c r="N162" s="41">
        <v>161</v>
      </c>
      <c r="O162" s="11" t="s">
        <v>237</v>
      </c>
      <c r="Q162" s="41"/>
    </row>
    <row r="163" spans="14:17" x14ac:dyDescent="0.25">
      <c r="N163" s="41"/>
      <c r="Q163" s="41"/>
    </row>
    <row r="164" spans="14:17" x14ac:dyDescent="0.25">
      <c r="N164" s="41"/>
      <c r="Q164" s="41"/>
    </row>
    <row r="165" spans="14:17" x14ac:dyDescent="0.25">
      <c r="N165" s="41"/>
      <c r="Q165" s="41"/>
    </row>
    <row r="166" spans="14:17" x14ac:dyDescent="0.25">
      <c r="Q166" s="41"/>
    </row>
    <row r="167" spans="14:17" x14ac:dyDescent="0.25">
      <c r="Q167" s="41"/>
    </row>
    <row r="168" spans="14:17" x14ac:dyDescent="0.25">
      <c r="Q168" s="41"/>
    </row>
    <row r="169" spans="14:17" x14ac:dyDescent="0.25">
      <c r="Q169" s="41"/>
    </row>
  </sheetData>
  <sheetProtection algorithmName="SHA-512" hashValue="aSQAcHO5opKlrNEmOLYz9kJ0KeVpR6Z5AFVn6fEPeuPt7Pi/Cm0c7bEzq8PEDoM//Cl22es07nCCrrwUkz2juw==" saltValue="Jbnpf4KfEVzyEct4rsidnA==" spinCount="100000" sheet="1" objects="1" scenarios="1"/>
  <sortState xmlns:xlrd2="http://schemas.microsoft.com/office/spreadsheetml/2017/richdata2" ref="D2:F183">
    <sortCondition ref="D2:D183"/>
  </sortState>
  <mergeCells count="2">
    <mergeCell ref="Q1:W1"/>
    <mergeCell ref="Q18:W18"/>
  </mergeCells>
  <conditionalFormatting sqref="B2:B23">
    <cfRule type="duplicateValues" dxfId="44" priority="30"/>
  </conditionalFormatting>
  <conditionalFormatting sqref="E3">
    <cfRule type="duplicateValues" dxfId="43" priority="14"/>
  </conditionalFormatting>
  <conditionalFormatting sqref="E4">
    <cfRule type="duplicateValues" dxfId="42" priority="12"/>
  </conditionalFormatting>
  <conditionalFormatting sqref="E74">
    <cfRule type="duplicateValues" dxfId="41" priority="23"/>
  </conditionalFormatting>
  <conditionalFormatting sqref="E122">
    <cfRule type="duplicateValues" dxfId="40" priority="10"/>
  </conditionalFormatting>
  <conditionalFormatting sqref="E125">
    <cfRule type="duplicateValues" dxfId="39" priority="4"/>
  </conditionalFormatting>
  <conditionalFormatting sqref="E127:E128">
    <cfRule type="duplicateValues" dxfId="38" priority="8"/>
  </conditionalFormatting>
  <conditionalFormatting sqref="E129">
    <cfRule type="duplicateValues" dxfId="37" priority="6"/>
  </conditionalFormatting>
  <conditionalFormatting sqref="E130">
    <cfRule type="duplicateValues" dxfId="36" priority="18"/>
  </conditionalFormatting>
  <conditionalFormatting sqref="E131 E2 E75:E121 E5:E73 E123:E124 E126">
    <cfRule type="duplicateValues" dxfId="35" priority="277"/>
  </conditionalFormatting>
  <conditionalFormatting sqref="E132">
    <cfRule type="duplicateValues" dxfId="34" priority="16"/>
  </conditionalFormatting>
  <conditionalFormatting sqref="E133">
    <cfRule type="duplicateValues" dxfId="33" priority="20"/>
  </conditionalFormatting>
  <conditionalFormatting sqref="E134">
    <cfRule type="duplicateValues" dxfId="32" priority="22"/>
  </conditionalFormatting>
  <conditionalFormatting sqref="F3">
    <cfRule type="duplicateValues" dxfId="31" priority="13"/>
  </conditionalFormatting>
  <conditionalFormatting sqref="F4">
    <cfRule type="duplicateValues" dxfId="30" priority="11"/>
  </conditionalFormatting>
  <conditionalFormatting sqref="F122">
    <cfRule type="duplicateValues" dxfId="29" priority="9"/>
  </conditionalFormatting>
  <conditionalFormatting sqref="F125">
    <cfRule type="duplicateValues" dxfId="28" priority="3"/>
  </conditionalFormatting>
  <conditionalFormatting sqref="F127">
    <cfRule type="duplicateValues" dxfId="27" priority="7"/>
  </conditionalFormatting>
  <conditionalFormatting sqref="F129">
    <cfRule type="duplicateValues" dxfId="26" priority="5"/>
  </conditionalFormatting>
  <conditionalFormatting sqref="F131 F2 F75:F121 F5:F73 F123:F124 F126">
    <cfRule type="duplicateValues" dxfId="25" priority="274"/>
  </conditionalFormatting>
  <conditionalFormatting sqref="F132">
    <cfRule type="duplicateValues" dxfId="24" priority="15"/>
  </conditionalFormatting>
  <conditionalFormatting sqref="F133">
    <cfRule type="duplicateValues" dxfId="23" priority="19"/>
  </conditionalFormatting>
  <conditionalFormatting sqref="F134">
    <cfRule type="duplicateValues" dxfId="22" priority="21"/>
  </conditionalFormatting>
  <conditionalFormatting sqref="I2:I11">
    <cfRule type="duplicateValues" dxfId="21" priority="33"/>
  </conditionalFormatting>
  <conditionalFormatting sqref="L2:L9">
    <cfRule type="duplicateValues" dxfId="20" priority="34"/>
  </conditionalFormatting>
  <conditionalFormatting sqref="O2:O162">
    <cfRule type="duplicateValues" dxfId="19" priority="35"/>
  </conditionalFormatting>
  <conditionalFormatting sqref="R20 U20">
    <cfRule type="expression" dxfId="18" priority="194">
      <formula>$O55=$W$15</formula>
    </cfRule>
    <cfRule type="expression" dxfId="17" priority="195">
      <formula>$O55=$W$14</formula>
    </cfRule>
    <cfRule type="expression" dxfId="16" priority="196">
      <formula>$O55=$W$13</formula>
    </cfRule>
    <cfRule type="expression" dxfId="15" priority="197">
      <formula>$O55=$W$12</formula>
    </cfRule>
    <cfRule type="expression" dxfId="14" priority="198">
      <formula>$O55=$W$11</formula>
    </cfRule>
    <cfRule type="expression" dxfId="13" priority="200">
      <formula>$O55=$W$9</formula>
    </cfRule>
    <cfRule type="expression" dxfId="12" priority="201">
      <formula>$O55=$W$8</formula>
    </cfRule>
    <cfRule type="expression" dxfId="11" priority="202">
      <formula>$O55=$W$7</formula>
    </cfRule>
    <cfRule type="expression" dxfId="10" priority="203">
      <formula>$O55=$W$6</formula>
    </cfRule>
    <cfRule type="expression" dxfId="9" priority="199">
      <formula>$O55=$W$10</formula>
    </cfRule>
    <cfRule type="expression" dxfId="8" priority="205">
      <formula>$O55=$W$4</formula>
    </cfRule>
    <cfRule type="expression" dxfId="7" priority="206">
      <formula>$O55=$W$3</formula>
    </cfRule>
    <cfRule type="expression" dxfId="6" priority="207">
      <formula>$O55=$W$2</formula>
    </cfRule>
    <cfRule type="expression" dxfId="5" priority="204">
      <formula>$O55=$W$5</formula>
    </cfRule>
  </conditionalFormatting>
  <conditionalFormatting sqref="R23">
    <cfRule type="duplicateValues" dxfId="4" priority="27"/>
  </conditionalFormatting>
  <conditionalFormatting sqref="R28">
    <cfRule type="duplicateValues" dxfId="3" priority="26"/>
  </conditionalFormatting>
  <conditionalFormatting sqref="R37">
    <cfRule type="duplicateValues" dxfId="2" priority="29"/>
  </conditionalFormatting>
  <conditionalFormatting sqref="R39:R51 R20:R22 R53 R24:R27 R29:R36">
    <cfRule type="duplicateValues" dxfId="1" priority="36"/>
  </conditionalFormatting>
  <conditionalFormatting sqref="R52">
    <cfRule type="duplicateValues" dxfId="0" priority="28"/>
  </conditionalFormatting>
  <hyperlinks>
    <hyperlink ref="S20" r:id="rId1" xr:uid="{00000000-0004-0000-0200-000000000000}"/>
    <hyperlink ref="S34" r:id="rId2" xr:uid="{00000000-0004-0000-0200-000001000000}"/>
    <hyperlink ref="S21" r:id="rId3" xr:uid="{00000000-0004-0000-0200-000002000000}"/>
    <hyperlink ref="S22" r:id="rId4" xr:uid="{00000000-0004-0000-0200-000003000000}"/>
    <hyperlink ref="S24" r:id="rId5" xr:uid="{00000000-0004-0000-0200-000004000000}"/>
    <hyperlink ref="S25" r:id="rId6" xr:uid="{00000000-0004-0000-0200-000005000000}"/>
    <hyperlink ref="S26" r:id="rId7" xr:uid="{00000000-0004-0000-0200-000006000000}"/>
    <hyperlink ref="S27" r:id="rId8" xr:uid="{00000000-0004-0000-0200-000007000000}"/>
    <hyperlink ref="S29" r:id="rId9" xr:uid="{00000000-0004-0000-0200-000008000000}"/>
    <hyperlink ref="S30" r:id="rId10" xr:uid="{00000000-0004-0000-0200-000009000000}"/>
    <hyperlink ref="S31" r:id="rId11" xr:uid="{00000000-0004-0000-0200-00000A000000}"/>
    <hyperlink ref="S32" r:id="rId12" xr:uid="{00000000-0004-0000-0200-00000B000000}"/>
    <hyperlink ref="S33" r:id="rId13" xr:uid="{00000000-0004-0000-0200-00000C000000}"/>
    <hyperlink ref="S50" r:id="rId14" xr:uid="{00000000-0004-0000-0200-00000D000000}"/>
    <hyperlink ref="S51" r:id="rId15" xr:uid="{00000000-0004-0000-0200-00000E000000}"/>
    <hyperlink ref="S45" r:id="rId16" xr:uid="{00000000-0004-0000-0200-00000F000000}"/>
    <hyperlink ref="S47" r:id="rId17" xr:uid="{00000000-0004-0000-0200-000010000000}"/>
    <hyperlink ref="S44" r:id="rId18" xr:uid="{00000000-0004-0000-0200-000011000000}"/>
    <hyperlink ref="S40" r:id="rId19" xr:uid="{00000000-0004-0000-0200-000012000000}"/>
    <hyperlink ref="S46" r:id="rId20" xr:uid="{00000000-0004-0000-0200-000013000000}"/>
    <hyperlink ref="S42" r:id="rId21" xr:uid="{00000000-0004-0000-0200-000014000000}"/>
    <hyperlink ref="S43" r:id="rId22" xr:uid="{00000000-0004-0000-0200-000015000000}"/>
    <hyperlink ref="S35" r:id="rId23" xr:uid="{00000000-0004-0000-0200-000016000000}"/>
    <hyperlink ref="S48" r:id="rId24" xr:uid="{00000000-0004-0000-0200-000017000000}"/>
    <hyperlink ref="S41" r:id="rId25" xr:uid="{00000000-0004-0000-0200-000018000000}"/>
    <hyperlink ref="S39" r:id="rId26" xr:uid="{00000000-0004-0000-0200-000019000000}"/>
    <hyperlink ref="S53" r:id="rId27" xr:uid="{00000000-0004-0000-0200-00001A000000}"/>
    <hyperlink ref="S49" r:id="rId28" xr:uid="{00000000-0004-0000-0200-00001B000000}"/>
    <hyperlink ref="S36" r:id="rId29" xr:uid="{00000000-0004-0000-0200-00001C000000}"/>
    <hyperlink ref="S54" r:id="rId30" xr:uid="{00000000-0004-0000-0200-00001D000000}"/>
    <hyperlink ref="S38" r:id="rId31" xr:uid="{00000000-0004-0000-0200-00001E000000}"/>
    <hyperlink ref="S37" r:id="rId32" xr:uid="{00000000-0004-0000-0200-00001F000000}"/>
    <hyperlink ref="S23" r:id="rId33" xr:uid="{00000000-0004-0000-0200-000020000000}"/>
    <hyperlink ref="S28" r:id="rId34" xr:uid="{00000000-0004-0000-0200-000021000000}"/>
    <hyperlink ref="S55" r:id="rId35" display="mailto:e-mail%3Anatalia.lopes@sgb.gov.br" xr:uid="{00000000-0004-0000-0200-000022000000}"/>
    <hyperlink ref="S59" r:id="rId36" xr:uid="{00000000-0004-0000-0200-000023000000}"/>
    <hyperlink ref="S56" r:id="rId37" display="mailto:e-mail%3Anatalia.lopes@sgb.gov.br" xr:uid="{00000000-0004-0000-0200-000024000000}"/>
    <hyperlink ref="S58" r:id="rId38" xr:uid="{00000000-0004-0000-0200-000025000000}"/>
    <hyperlink ref="S57" r:id="rId39" xr:uid="{00000000-0004-0000-0200-000026000000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DadosGerais</vt:lpstr>
      <vt:lpstr>DadosAmostras</vt:lpstr>
      <vt:lpstr>Controle</vt:lpstr>
      <vt:lpstr>DadosAmostras!Area_de_impressao</vt:lpstr>
      <vt:lpstr>DadosGerais!Area_de_impressao</vt:lpstr>
    </vt:vector>
  </TitlesOfParts>
  <Company>SGS GEOSOL LABORATORIOS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leticia.silva</dc:creator>
  <cp:lastModifiedBy>Viviane Carillo Ferrari</cp:lastModifiedBy>
  <cp:lastPrinted>2023-05-19T18:09:33Z</cp:lastPrinted>
  <dcterms:created xsi:type="dcterms:W3CDTF">2011-03-25T11:40:06Z</dcterms:created>
  <dcterms:modified xsi:type="dcterms:W3CDTF">2025-12-24T00:53:46Z</dcterms:modified>
</cp:coreProperties>
</file>