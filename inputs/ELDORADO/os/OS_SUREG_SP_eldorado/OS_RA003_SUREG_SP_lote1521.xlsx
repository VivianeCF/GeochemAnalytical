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eldorado\os\OS_SUREG_SP_eldorado\"/>
    </mc:Choice>
  </mc:AlternateContent>
  <xr:revisionPtr revIDLastSave="0" documentId="13_ncr:1_{952333D2-A5B1-4E1A-939A-CC7142512C0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<sst xmlns="http://schemas.openxmlformats.org/spreadsheetml/2006/main" count="1326" uniqueCount="906">
  <si>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</si>
  <si>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</si>
  <si>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</si>
  <si>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</si>
  <si>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</si>
  <si>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</si>
  <si>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</si>
  <si>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</si>
  <si>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</si>
  <si>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</si>
  <si>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</si>
  <si>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</si>
  <si>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</si>
  <si>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</si>
  <si>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</si>
  <si>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</si>
  <si>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</si>
  <si>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</si>
  <si>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</si>
  <si>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</si>
  <si>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</si>
  <si>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</si>
  <si>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</si>
  <si>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</si>
  <si>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</si>
  <si>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</si>
  <si>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</si>
  <si>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</si>
  <si>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</si>
  <si>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</si>
  <si>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</si>
  <si>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</si>
  <si>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</si>
  <si>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</si>
  <si>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</si>
  <si>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</si>
  <si>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</si>
  <si>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</si>
  <si>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</si>
  <si>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</si>
  <si>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</si>
  <si>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</si>
  <si>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</si>
  <si>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</si>
  <si>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</si>
  <si>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</si>
  <si>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</si>
  <si>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</si>
  <si>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</si>
  <si>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</si>
  <si>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</si>
  <si>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</si>
  <si>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</si>
  <si>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</si>
  <si>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</si>
  <si>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</si>
  <si>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</si>
  <si>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</si>
  <si>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</si>
  <si>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</si>
  <si>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</si>
  <si>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</si>
  <si>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</si>
  <si>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</si>
  <si>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</si>
  <si>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</si>
  <si>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</si>
  <si>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</si>
  <si>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</si>
  <si>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</si>
  <si>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</si>
  <si>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</si>
  <si>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</si>
  <si>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</si>
  <si>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</si>
  <si>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</si>
  <si>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</si>
  <si>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</si>
  <si>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</si>
  <si>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</si>
  <si>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</si>
  <si>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</si>
  <si>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</si>
  <si>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</si>
  <si>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</si>
  <si>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</si>
  <si>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</si>
  <si>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</si>
  <si>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</si>
  <si>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</si>
  <si>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</si>
  <si>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</si>
  <si>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</si>
  <si>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</si>
  <si>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</si>
  <si>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</si>
  <si>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</si>
  <si>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</si>
  <si>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</si>
  <si>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</si>
  <si>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</si>
  <si>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</si>
  <si>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</si>
  <si>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</si>
  <si>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</si>
  <si>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</si>
  <si>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</si>
  <si>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</si>
  <si>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</si>
  <si>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</si>
  <si>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</si>
  <si>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</si>
  <si>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</si>
  <si>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</si>
  <si>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</si>
  <si>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</si>
  <si>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</si>
  <si>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</si>
  <si>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</si>
  <si>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</si>
  <si>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</si>
  <si>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</si>
  <si>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</si>
  <si>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</si>
  <si>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</si>
  <si>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</si>
  <si>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</si>
  <si>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</si>
  <si>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</si>
  <si>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</si>
  <si>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</si>
  <si>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</si>
  <si>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</si>
  <si>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</si>
  <si>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</si>
  <si>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</si>
  <si>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</si>
  <si>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</si>
  <si>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</si>
  <si>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</si>
  <si>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</si>
  <si>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</si>
  <si>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</si>
  <si>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</si>
  <si>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</si>
  <si>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</si>
  <si>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</si>
  <si>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</si>
  <si>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</si>
  <si>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</si>
  <si>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</si>
  <si>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</si>
  <si>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</si>
  <si>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</si>
  <si>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</si>
  <si>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</si>
  <si>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</si>
  <si>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</si>
  <si>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</si>
  <si>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</si>
  <si>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</si>
  <si>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</si>
  <si>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</si>
  <si>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</si>
  <si>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</si>
  <si>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</si>
  <si>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</si>
  <si>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</si>
  <si>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</si>
  <si>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</si>
  <si>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</si>
  <si>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</si>
  <si>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</si>
  <si>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</si>
  <si>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</si>
  <si>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</si>
  <si>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</si>
  <si>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</si>
  <si>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</si>
  <si>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</si>
  <si>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</si>
  <si>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</si>
  <si>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</si>
  <si>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</si>
  <si>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</si>
  <si>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</si>
  <si>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</si>
  <si>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</si>
  <si>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</si>
  <si>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</si>
  <si>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</si>
  <si>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</si>
  <si>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</si>
  <si>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</si>
  <si>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</si>
  <si>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</si>
  <si>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</si>
  <si>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</si>
  <si>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</si>
  <si>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</si>
  <si>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</si>
  <si>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</si>
  <si>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</si>
  <si>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</si>
  <si>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</si>
  <si>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</si>
  <si>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</si>
  <si>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</si>
  <si>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</si>
  <si>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</si>
  <si>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</si>
  <si>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</si>
  <si>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</si>
  <si>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</si>
  <si>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</si>
  <si>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</si>
  <si>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</si>
  <si>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</si>
  <si>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</si>
  <si>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</si>
  <si>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</si>
  <si>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</si>
  <si>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</si>
  <si>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</si>
  <si>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</si>
  <si>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</si>
  <si>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</si>
  <si>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</si>
  <si>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</si>
  <si>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</si>
  <si>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</si>
  <si>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</si>
  <si>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</si>
  <si>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</si>
  <si>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</si>
  <si>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</si>
  <si>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</si>
  <si>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</si>
  <si>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</si>
  <si>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</si>
  <si>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</si>
  <si>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</si>
  <si>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</si>
  <si>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</si>
  <si>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</si>
  <si>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</si>
  <si>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</si>
  <si>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</si>
  <si>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</si>
  <si>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</si>
  <si>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</si>
  <si>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</si>
  <si>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</si>
  <si>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</si>
  <si>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</si>
  <si>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</si>
  <si>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</si>
  <si>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</si>
  <si>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</si>
  <si>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</si>
  <si>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</si>
  <si>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</si>
  <si>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</si>
  <si>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</si>
  <si>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</si>
  <si>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</si>
  <si>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</si>
  <si>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</si>
  <si>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</si>
  <si>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</si>
  <si>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</si>
  <si>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</si>
  <si>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</si>
  <si>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</si>
  <si>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</si>
  <si>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</si>
  <si>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</si>
  <si>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</si>
  <si>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</si>
  <si>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</si>
  <si>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</si>
  <si>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</si>
  <si>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</si>
  <si>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</si>
  <si>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</si>
  <si>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</si>
  <si>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</si>
  <si>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</si>
  <si>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</si>
  <si>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</si>
  <si>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</si>
  <si>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</si>
  <si>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</si>
  <si>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</si>
  <si>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</si>
  <si>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</si>
  <si>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</si>
  <si>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</si>
  <si>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</si>
  <si>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</si>
  <si>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</si>
  <si>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</si>
  <si>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</si>
  <si>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</si>
  <si>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</si>
  <si>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</si>
  <si>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</si>
  <si>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</si>
  <si>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</si>
  <si>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</si>
  <si>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</si>
  <si>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</si>
  <si>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</si>
  <si>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</si>
  <si>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</si>
  <si>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</si>
  <si>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</si>
  <si>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</si>
  <si>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</si>
  <si>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</si>
  <si>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</si>
  <si>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</si>
  <si>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</si>
  <si>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</si>
  <si>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</si>
  <si>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</si>
  <si>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</si>
  <si>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</si>
  <si>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</si>
  <si>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</si>
  <si>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</si>
  <si>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</si>
  <si>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</si>
  <si>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</si>
  <si>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</si>
  <si>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</si>
  <si>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</si>
  <si>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</si>
  <si>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</si>
  <si>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</si>
  <si>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</si>
  <si>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</si>
  <si>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</si>
  <si>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</si>
  <si>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</si>
  <si>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</si>
  <si>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</si>
  <si>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</si>
  <si>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</si>
  <si>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</si>
  <si>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</si>
  <si>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</si>
  <si>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</si>
  <si>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</si>
  <si>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</si>
  <si>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</si>
  <si>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</si>
  <si>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</si>
  <si>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</si>
  <si>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</si>
  <si>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</si>
  <si>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</si>
  <si>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</si>
  <si>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</si>
  <si>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</si>
  <si>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</si>
  <si>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</si>
  <si>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</si>
  <si>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</si>
  <si>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</si>
  <si>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</si>
  <si>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</si>
  <si>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</si>
  <si>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</si>
  <si>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</si>
  <si>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</si>
  <si>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</si>
  <si>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</si>
  <si>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</si>
  <si>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</si>
  <si>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</si>
  <si>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</si>
  <si>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</si>
  <si>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</si>
  <si>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</si>
  <si>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</si>
  <si>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</si>
  <si>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</si>
  <si>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</si>
  <si>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</si>
  <si>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</si>
  <si>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</si>
  <si>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</si>
  <si>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</si>
  <si>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</si>
  <si>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</si>
  <si>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</si>
  <si>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</si>
  <si>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</si>
  <si>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</si>
  <si>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</si>
  <si>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</si>
  <si>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</si>
  <si>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</si>
  <si>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</si>
  <si>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</si>
  <si>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</si>
  <si>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</si>
  <si>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</si>
  <si>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</si>
  <si>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</si>
  <si>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</si>
  <si>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</si>
  <si>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</si>
  <si>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</si>
  <si>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</si>
  <si>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</si>
  <si>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</si>
  <si>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</si>
  <si>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</si>
  <si>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</si>
  <si>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</si>
  <si>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</si>
  <si>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</si>
  <si>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</si>
  <si>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</si>
  <si>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</si>
  <si>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</si>
  <si>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</si>
  <si>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</si>
  <si>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</si>
  <si>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</si>
  <si>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</si>
  <si>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</si>
  <si>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</si>
  <si>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</si>
  <si>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</si>
  <si>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</si>
  <si>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</si>
  <si>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</si>
  <si>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</si>
  <si>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</si>
  <si>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</si>
  <si>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</si>
  <si>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</si>
  <si>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</si>
  <si>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</si>
  <si>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</si>
  <si>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</si>
  <si>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</si>
  <si>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</si>
  <si>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</si>
  <si>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</si>
  <si>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</si>
  <si>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</si>
  <si>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</si>
  <si>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</si>
  <si>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</si>
  <si>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</si>
  <si>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</si>
  <si>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</si>
  <si>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</si>
  <si>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</si>
  <si>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</si>
  <si>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</si>
  <si>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</si>
  <si>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</si>
  <si>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</si>
  <si>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</si>
  <si>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</si>
  <si>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</si>
  <si>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</si>
  <si>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</si>
  <si>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</si>
  <si>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</si>
  <si>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</si>
  <si>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</si>
  <si>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</si>
  <si>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</si>
  <si>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</si>
  <si>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</si>
  <si>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</si>
  <si>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</si>
  <si>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</si>
  <si>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</si>
  <si>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</si>
  <si>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</si>
  <si>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</si>
  <si>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</si>
  <si>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</si>
  <si>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</si>
  <si>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</si>
  <si>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</si>
  <si>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</si>
  <si>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</si>
  <si>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</si>
  <si>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</si>
  <si>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</si>
  <si>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</si>
  <si>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</si>
  <si>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</si>
  <si>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</si>
  <si>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</si>
  <si>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</si>
  <si>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</si>
  <si>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</si>
  <si>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</si>
  <si>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</si>
  <si>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</si>
  <si>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</si>
  <si>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</si>
  <si>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</si>
  <si>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</si>
  <si>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</si>
  <si>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</si>
  <si>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</si>
  <si>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</si>
  <si>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</si>
  <si>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</si>
  <si>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</si>
  <si>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</si>
  <si>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</si>
  <si>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</si>
  <si>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</si>
  <si>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</si>
  <si>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</si>
  <si>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</si>
  <si>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</si>
  <si>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</si>
  <si>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</si>
  <si>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</si>
  <si>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</si>
  <si>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</si>
  <si>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</si>
  <si>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</si>
  <si>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</si>
  <si>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</si>
  <si>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</si>
  <si>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</si>
  <si>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</si>
  <si>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</si>
  <si>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</si>
  <si>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</si>
  <si>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</si>
  <si>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</si>
  <si>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</si>
  <si>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</si>
  <si>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</si>
  <si>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</si>
  <si>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</si>
  <si>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</si>
  <si>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</si>
  <si>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</si>
  <si>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</si>
  <si>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</si>
  <si>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</si>
  <si>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</si>
  <si>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</si>
  <si>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</si>
  <si>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</si>
  <si>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</si>
  <si>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</si>
  <si>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</si>
  <si>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</si>
  <si>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</si>
  <si>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</si>
  <si>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</si>
  <si>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</si>
  <si>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</si>
  <si>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</si>
  <si>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</si>
  <si>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</si>
  <si>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</si>
  <si>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</si>
  <si>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</si>
  <si>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</si>
  <si>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</si>
  <si>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</si>
  <si>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</si>
  <si>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</si>
  <si>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</si>
  <si>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</si>
  <si>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</si>
  <si>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</si>
  <si>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</si>
  <si>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</si>
  <si>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</si>
  <si>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</si>
  <si>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</si>
  <si>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</si>
  <si>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</si>
  <si>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</si>
  <si>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</si>
  <si>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</si>
  <si>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</si>
  <si>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</si>
  <si>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</si>
  <si>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</si>
  <si>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</si>
  <si>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</si>
  <si>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</si>
  <si>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</si>
  <si>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</si>
  <si>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</si>
  <si>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</si>
  <si>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</si>
  <si>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</si>
  <si>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</si>
  <si>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</si>
  <si>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</si>
  <si>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</si>
  <si>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</si>
  <si>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</si>
  <si>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</si>
  <si>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</si>
  <si>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</si>
  <si>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</si>
  <si>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</si>
  <si>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</si>
  <si>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</si>
  <si>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</si>
  <si>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</si>
  <si>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</si>
  <si>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</si>
  <si>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</si>
  <si>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</si>
  <si>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</si>
  <si>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</si>
  <si>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</si>
  <si>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</si>
  <si>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</si>
  <si>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</si>
  <si>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</si>
  <si>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</si>
  <si>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</si>
  <si>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</si>
  <si>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</si>
  <si>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</si>
  <si>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</si>
  <si>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</si>
  <si>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</si>
  <si>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</si>
  <si>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</si>
  <si>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</si>
  <si>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</si>
  <si>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</si>
  <si>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</si>
  <si>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</si>
  <si>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</si>
  <si>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</si>
  <si>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</si>
  <si>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</si>
  <si>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</si>
  <si>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</si>
  <si>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</si>
  <si>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</si>
  <si>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</si>
  <si>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</si>
  <si>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</si>
  <si>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</si>
  <si>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</si>
  <si>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</si>
  <si>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</si>
  <si>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</si>
  <si>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</si>
  <si>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</si>
  <si>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</si>
  <si>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</si>
  <si>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</si>
  <si>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</si>
  <si>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</si>
  <si>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</si>
  <si>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</si>
  <si>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</si>
  <si>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</si>
  <si>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</si>
  <si>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</si>
  <si>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</si>
  <si>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</si>
  <si>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</si>
  <si>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</si>
  <si>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</si>
  <si>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</si>
  <si>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</si>
  <si>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</si>
  <si>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</si>
  <si>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</si>
  <si>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</si>
  <si>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</si>
  <si>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</si>
  <si>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</si>
  <si>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</si>
  <si>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</si>
  <si>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</si>
  <si>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</si>
  <si>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</si>
  <si>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</si>
  <si>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</si>
  <si>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</si>
  <si>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</si>
  <si>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</si>
  <si>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</si>
  <si>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</si>
  <si>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</si>
  <si>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</si>
  <si>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</si>
  <si>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</si>
  <si>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</si>
  <si>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</si>
  <si>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</si>
  <si>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</si>
  <si>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</si>
  <si>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</si>
  <si>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</si>
  <si>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</si>
  <si>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</si>
  <si>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</si>
  <si>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</si>
  <si>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</si>
  <si>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</si>
  <si>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</si>
  <si>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</si>
  <si>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</si>
  <si>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</si>
  <si>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</si>
  <si>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</si>
  <si>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</si>
  <si>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</si>
  <si>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</si>
  <si>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</si>
  <si>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</si>
  <si>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</si>
  <si>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</si>
  <si>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</si>
  <si>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</si>
  <si>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</si>
  <si>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</si>
  <si>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</si>
  <si>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</si>
  <si>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</si>
  <si>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</si>
  <si>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</si>
  <si>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</si>
  <si>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</si>
  <si>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</si>
  <si>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</si>
  <si>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</si>
  <si>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</si>
  <si>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</si>
  <si>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</si>
  <si>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</si>
  <si>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</si>
  <si>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</si>
  <si>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</si>
  <si>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</si>
  <si>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</si>
  <si>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</si>
  <si>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</si>
  <si>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</si>
  <si>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</si>
  <si>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</si>
  <si>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</si>
  <si>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</si>
  <si>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</si>
  <si>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</si>
  <si>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</si>
  <si>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</si>
  <si>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</si>
  <si>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</si>
  <si>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</si>
  <si>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</si>
  <si>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</si>
  <si>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</si>
  <si>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</si>
  <si>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</si>
  <si>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</si>
  <si>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</si>
  <si>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</si>
  <si>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</si>
  <si>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</si>
  <si>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</si>
  <si>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</si>
  <si>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</si>
  <si>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</si>
  <si>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</si>
  <si>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</si>
  <si>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</si>
  <si>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</si>
  <si>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</si>
  <si>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</si>
  <si>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</si>
  <si>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</si>
  <si>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</si>
  <si>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</si>
  <si>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</si>
  <si>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</si>
  <si>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</si>
  <si>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</si>
  <si>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</si>
  <si>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</si>
  <si>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</si>
  <si>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</si>
  <si>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</si>
  <si>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</si>
  <si>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x</t>
  </si>
  <si>
    <t>1521/SP</t>
  </si>
  <si>
    <t>IBV510</t>
  </si>
  <si>
    <t>IBV511</t>
  </si>
  <si>
    <t>IBV512</t>
  </si>
  <si>
    <t>IBV513</t>
  </si>
  <si>
    <t>IBV514</t>
  </si>
  <si>
    <t>IBV515</t>
  </si>
  <si>
    <t>IBV516</t>
  </si>
  <si>
    <t>IBV517</t>
  </si>
  <si>
    <t>IBV518</t>
  </si>
  <si>
    <t>IBV519</t>
  </si>
  <si>
    <t>IBV520</t>
  </si>
  <si>
    <t>IBV521</t>
  </si>
  <si>
    <t>IBV522</t>
  </si>
  <si>
    <t>IBV523</t>
  </si>
  <si>
    <t>IBV524</t>
  </si>
  <si>
    <t>IBV525</t>
  </si>
  <si>
    <t>IBV526</t>
  </si>
  <si>
    <t>IBV527</t>
  </si>
  <si>
    <t>IBV528</t>
  </si>
  <si>
    <t>IBV529</t>
  </si>
  <si>
    <t>IBV530</t>
  </si>
  <si>
    <t>IBV531</t>
  </si>
  <si>
    <t>IBV532</t>
  </si>
  <si>
    <t>IBV533</t>
  </si>
  <si>
    <t>IBV534</t>
  </si>
  <si>
    <t>IBV535</t>
  </si>
  <si>
    <t>IBV536</t>
  </si>
  <si>
    <t>IBV537</t>
  </si>
  <si>
    <t>IBV538</t>
  </si>
  <si>
    <t>IBV539</t>
  </si>
  <si>
    <t>IBV540</t>
  </si>
  <si>
    <t>IBV541</t>
  </si>
  <si>
    <t>IBV542</t>
  </si>
  <si>
    <t>IBV543</t>
  </si>
  <si>
    <t>IBV544</t>
  </si>
  <si>
    <t>IBV545</t>
  </si>
  <si>
    <t>IBV546</t>
  </si>
  <si>
    <t>IBV547</t>
  </si>
  <si>
    <t>IBV548</t>
  </si>
  <si>
    <t>IBV549</t>
  </si>
  <si>
    <t>IBV550</t>
  </si>
  <si>
    <t>IBV551</t>
  </si>
  <si>
    <t>IBV552</t>
  </si>
  <si>
    <t>IBV553</t>
  </si>
  <si>
    <t>IBV554</t>
  </si>
  <si>
    <t>IBV555</t>
  </si>
  <si>
    <t>IBV556</t>
  </si>
  <si>
    <t>IBV557</t>
  </si>
  <si>
    <t>IBV558</t>
  </si>
  <si>
    <t>IBV559</t>
  </si>
  <si>
    <t>4077-RB-S-0001</t>
  </si>
  <si>
    <t>4077-RB-S-0051</t>
  </si>
  <si>
    <t>4077-RB-S-0066</t>
  </si>
  <si>
    <t>4077-RB-S-0142</t>
  </si>
  <si>
    <t>4077-RB-S-0173</t>
  </si>
  <si>
    <t>4077-RB-S-0175</t>
  </si>
  <si>
    <t>4077-RB-S-0176</t>
  </si>
  <si>
    <t>4077-RB-S-0178</t>
  </si>
  <si>
    <t>4077-RB-S-0181</t>
  </si>
  <si>
    <t>4077-RB-S-0183</t>
  </si>
  <si>
    <t>4077-RB-S-0184</t>
  </si>
  <si>
    <t>4077-RB-S-0185</t>
  </si>
  <si>
    <t>4077-RB-S-0186</t>
  </si>
  <si>
    <t>4077-RB-S-0188</t>
  </si>
  <si>
    <t>4077-RB-S-0191</t>
  </si>
  <si>
    <t>4077-RB-S-0192</t>
  </si>
  <si>
    <t>4077-RB-S-0193</t>
  </si>
  <si>
    <t>4077-RB-S-0194</t>
  </si>
  <si>
    <t>4077-RB-S-0195</t>
  </si>
  <si>
    <t>4077-RB-S-0196</t>
  </si>
  <si>
    <t>4077-RB-S-0199</t>
  </si>
  <si>
    <t>4077-RB-S-0200</t>
  </si>
  <si>
    <t>4077-RB-S-0201</t>
  </si>
  <si>
    <t>4077-RB-S-0203</t>
  </si>
  <si>
    <t>4077-RB-S-0209</t>
  </si>
  <si>
    <t>4077-RB-S-0210</t>
  </si>
  <si>
    <t>4077-RB-S-0211</t>
  </si>
  <si>
    <t>4077-RB-S-0212</t>
  </si>
  <si>
    <t>4077-RB-S-0213</t>
  </si>
  <si>
    <t>4077-RB-S-0214</t>
  </si>
  <si>
    <t>4077-RB-S-0216</t>
  </si>
  <si>
    <t>4077-RB-S-0218</t>
  </si>
  <si>
    <t>4077-RB-S-0219</t>
  </si>
  <si>
    <t>4077-RB-S-0220</t>
  </si>
  <si>
    <t>4077-RB-S-0221</t>
  </si>
  <si>
    <t>4077-RB-S-0222</t>
  </si>
  <si>
    <t>4077-RB-S-0223</t>
  </si>
  <si>
    <t>4077-RB-S-0224</t>
  </si>
  <si>
    <t>4077-RB-S-0225</t>
  </si>
  <si>
    <t>4077-RB-S-0227</t>
  </si>
  <si>
    <t>4077-RB-S-0228</t>
  </si>
  <si>
    <t>4077-RB-S-0231</t>
  </si>
  <si>
    <t>4077-RB-S-0234</t>
  </si>
  <si>
    <t>4077-RB-S-0237</t>
  </si>
  <si>
    <t>4077-RB-S-0239</t>
  </si>
  <si>
    <t>4077-RB-S-0240</t>
  </si>
  <si>
    <t>4077-RB-S-0243</t>
  </si>
  <si>
    <t>4077-RB-S-0244</t>
  </si>
  <si>
    <t>4077-RB-S-0248</t>
  </si>
  <si>
    <t>4077-RB-S-0254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</si>
</sst>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" fillId="2" borderId="33" xfId="0" applyFont="1" applyFill="1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3" fillId="7" borderId="33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5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5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4" fillId="4" borderId="2" xfId="0" applyFont="1" applyFill="1" applyBorder="1" applyAlignment="1">
      <alignment horizontal="center" vertical="top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0" xfId="0" applyFont="1" applyFill="1" applyAlignment="1">
      <alignment horizontal="center" vertical="top" wrapText="1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252" t="s">
        <v>67</v>
      </c>
      <c r="J2" s="253"/>
      <c r="K2" s="25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255" t="s">
        <v>653</v>
      </c>
      <c r="J3" s="256"/>
      <c r="K3" s="25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255" t="s">
        <v>654</v>
      </c>
      <c r="J4" s="256"/>
      <c r="K4" s="25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258" t="s">
        <v>655</v>
      </c>
      <c r="J5" s="259"/>
      <c r="K5" s="26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261" t="s">
        <v>656</v>
      </c>
      <c r="J6" s="262"/>
      <c r="K6" s="263"/>
      <c r="L6" s="17"/>
    </row>
    <row r="7" spans="1:18" s="2" customFormat="1" ht="42" customHeight="1" thickBot="1" x14ac:dyDescent="0.3">
      <c r="A7" s="20"/>
      <c r="B7" s="248" t="s">
        <v>781</v>
      </c>
      <c r="C7" s="249"/>
      <c r="D7" s="249"/>
      <c r="E7" s="249"/>
      <c r="F7" s="249"/>
      <c r="G7" s="249"/>
      <c r="H7" s="249"/>
      <c r="I7" s="250"/>
      <c r="J7" s="250"/>
      <c r="K7" s="251"/>
      <c r="L7" s="21"/>
    </row>
    <row r="8" spans="1:18" s="2" customFormat="1" ht="18.75" customHeight="1" thickBot="1" x14ac:dyDescent="0.3">
      <c r="A8" s="20"/>
      <c r="B8" s="226" t="s">
        <v>69</v>
      </c>
      <c r="C8" s="227"/>
      <c r="D8" s="227"/>
      <c r="E8" s="227"/>
      <c r="F8" s="227"/>
      <c r="G8" s="227"/>
      <c r="H8" s="227"/>
      <c r="I8" s="227"/>
      <c r="J8" s="227"/>
      <c r="K8" s="228"/>
      <c r="L8" s="21"/>
    </row>
    <row r="9" spans="1:18" s="2" customFormat="1" ht="19.5" customHeight="1" x14ac:dyDescent="0.3">
      <c r="A9" s="22"/>
      <c r="B9" s="229" t="s">
        <v>70</v>
      </c>
      <c r="C9" s="230"/>
      <c r="D9" s="230"/>
      <c r="E9" s="230"/>
      <c r="F9" s="230"/>
      <c r="G9" s="230"/>
      <c r="H9" s="230"/>
      <c r="I9" s="230"/>
      <c r="J9" s="230"/>
      <c r="K9" s="231"/>
      <c r="L9" s="21"/>
      <c r="R9" s="115"/>
    </row>
    <row r="10" spans="1:18" s="2" customFormat="1" ht="15" customHeight="1" x14ac:dyDescent="0.25">
      <c r="A10" s="22"/>
      <c r="B10" s="232" t="s">
        <v>71</v>
      </c>
      <c r="C10" s="233"/>
      <c r="D10" s="233"/>
      <c r="E10" s="233"/>
      <c r="F10" s="233"/>
      <c r="G10" s="233"/>
      <c r="H10" s="233"/>
      <c r="I10" s="233"/>
      <c r="J10" s="233"/>
      <c r="K10" s="234"/>
      <c r="L10" s="21"/>
    </row>
    <row r="11" spans="1:18" s="2" customFormat="1" ht="15" customHeight="1" x14ac:dyDescent="0.25">
      <c r="A11" s="22"/>
      <c r="B11" s="232" t="s">
        <v>73</v>
      </c>
      <c r="C11" s="233"/>
      <c r="D11" s="233"/>
      <c r="E11" s="233"/>
      <c r="F11" s="233"/>
      <c r="G11" s="233"/>
      <c r="H11" s="233"/>
      <c r="I11" s="233"/>
      <c r="J11" s="233"/>
      <c r="K11" s="234"/>
      <c r="L11" s="21"/>
    </row>
    <row r="12" spans="1:18" s="2" customFormat="1" ht="15" customHeight="1" x14ac:dyDescent="0.25">
      <c r="A12" s="22"/>
      <c r="B12" s="232" t="s">
        <v>72</v>
      </c>
      <c r="C12" s="233"/>
      <c r="D12" s="233"/>
      <c r="E12" s="233"/>
      <c r="F12" s="233"/>
      <c r="G12" s="233"/>
      <c r="H12" s="233"/>
      <c r="I12" s="233"/>
      <c r="J12" s="233"/>
      <c r="K12" s="234"/>
      <c r="L12" s="21"/>
    </row>
    <row r="13" spans="1:18" s="2" customFormat="1" ht="15" customHeight="1" thickBot="1" x14ac:dyDescent="0.3">
      <c r="A13" s="22"/>
      <c r="B13" s="235" t="s">
        <v>74</v>
      </c>
      <c r="C13" s="236"/>
      <c r="D13" s="236"/>
      <c r="E13" s="236"/>
      <c r="F13" s="236"/>
      <c r="G13" s="236"/>
      <c r="H13" s="236"/>
      <c r="I13" s="236"/>
      <c r="J13" s="236"/>
      <c r="K13" s="237"/>
      <c r="L13" s="21"/>
    </row>
    <row r="14" spans="1:18" ht="15" customHeight="1" thickBot="1" x14ac:dyDescent="0.3">
      <c r="A14" s="18"/>
      <c r="B14" s="238" t="s">
        <v>68</v>
      </c>
      <c r="C14" s="239"/>
      <c r="D14" s="239"/>
      <c r="E14" s="239"/>
      <c r="F14" s="239"/>
      <c r="G14" s="239"/>
      <c r="H14" s="239"/>
      <c r="I14" s="239"/>
      <c r="J14" s="239"/>
      <c r="K14" s="240"/>
      <c r="L14" s="17"/>
    </row>
    <row r="15" spans="1:18" ht="15" customHeight="1" x14ac:dyDescent="0.25">
      <c r="A15" s="15"/>
      <c r="B15" s="241" t="s">
        <v>55</v>
      </c>
      <c r="C15" s="242"/>
      <c r="D15" s="242"/>
      <c r="E15" s="243"/>
      <c r="F15" s="244" t="s">
        <v>435</v>
      </c>
      <c r="G15" s="244"/>
      <c r="H15" s="244"/>
      <c r="I15" s="244"/>
      <c r="J15" s="244"/>
      <c r="K15" s="245"/>
      <c r="L15" s="17"/>
    </row>
    <row r="16" spans="1:18" ht="15" customHeight="1" x14ac:dyDescent="0.25">
      <c r="A16" s="15"/>
      <c r="B16" s="23"/>
      <c r="C16" s="15"/>
      <c r="D16" s="246" t="s">
        <v>546</v>
      </c>
      <c r="E16" s="247"/>
      <c r="F16" s="244" t="s">
        <v>695</v>
      </c>
      <c r="G16" s="244"/>
      <c r="H16" s="244"/>
      <c r="I16" s="244"/>
      <c r="J16" s="244"/>
      <c r="K16" s="24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224" t="str">
        <f>VLOOKUP($F$16,Controle!R3:W16,3,FALSE)</f>
        <v>Rua Costa, 55   Bairro Cerqueira César</v>
      </c>
      <c r="G17" s="224"/>
      <c r="H17" s="224"/>
      <c r="I17" s="224"/>
      <c r="J17" s="224"/>
      <c r="K17" s="22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205" t="str">
        <f>VLOOKUP($F$16,Controle!R3:W16,4,FALSE)</f>
        <v>01304-010</v>
      </c>
      <c r="G18" s="207"/>
      <c r="H18" s="216" t="s">
        <v>6</v>
      </c>
      <c r="I18" s="216"/>
      <c r="J18" s="217" t="str">
        <f>VLOOKUP($F$16,Controle!R3:W16,6,FALSE)</f>
        <v>SÃO PAULO / SP</v>
      </c>
      <c r="K18" s="218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210" t="str">
        <f>VLOOKUP($F$16,Controle!R3:W16,5,FALSE)</f>
        <v>11-3775 5101</v>
      </c>
      <c r="G19" s="219"/>
      <c r="H19" s="220" t="s">
        <v>5</v>
      </c>
      <c r="I19" s="221"/>
      <c r="J19" s="222" t="str">
        <f>VLOOKUP($F$15,Controle!R20:U54,2,FALSE)</f>
        <v>viviane.ferrari@sgb.gov.br</v>
      </c>
      <c r="K19" s="223"/>
      <c r="L19" s="17"/>
    </row>
    <row r="20" spans="1:256" ht="16.5" customHeight="1" thickBot="1" x14ac:dyDescent="0.3">
      <c r="A20" s="18"/>
      <c r="B20" s="191" t="s">
        <v>22</v>
      </c>
      <c r="C20" s="192"/>
      <c r="D20" s="192"/>
      <c r="E20" s="192"/>
      <c r="F20" s="192"/>
      <c r="G20" s="192"/>
      <c r="H20" s="192"/>
      <c r="I20" s="192"/>
      <c r="J20" s="192"/>
      <c r="K20" s="193"/>
      <c r="L20" s="17"/>
    </row>
    <row r="21" spans="1:256" ht="15" customHeight="1" x14ac:dyDescent="0.25">
      <c r="A21" s="18"/>
      <c r="B21" s="23"/>
      <c r="C21" s="15"/>
      <c r="D21" s="194" t="s">
        <v>0</v>
      </c>
      <c r="E21" s="194"/>
      <c r="F21" s="195" t="s">
        <v>32</v>
      </c>
      <c r="G21" s="196"/>
      <c r="H21" s="196"/>
      <c r="I21" s="196"/>
      <c r="J21" s="196"/>
      <c r="K21" s="197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198" t="s">
        <v>699</v>
      </c>
      <c r="G22" s="199"/>
      <c r="H22" s="199"/>
      <c r="I22" s="199"/>
      <c r="J22" s="199"/>
      <c r="K22" s="200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1" t="s">
        <v>706</v>
      </c>
      <c r="G23" s="202"/>
      <c r="H23" s="203"/>
      <c r="I23" s="204" t="s">
        <v>6</v>
      </c>
      <c r="J23" s="204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205" t="s">
        <v>444</v>
      </c>
      <c r="G24" s="206"/>
      <c r="H24" s="207"/>
      <c r="I24" s="208" t="s">
        <v>7</v>
      </c>
      <c r="J24" s="209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210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153" t="s">
        <v>56</v>
      </c>
      <c r="C26" s="215"/>
      <c r="D26" s="215"/>
      <c r="E26" s="154"/>
      <c r="F26" s="154"/>
      <c r="G26" s="154"/>
      <c r="H26" s="154"/>
      <c r="I26" s="154"/>
      <c r="J26" s="154"/>
      <c r="K26" s="155"/>
      <c r="L26" s="17"/>
    </row>
    <row r="27" spans="1:256" ht="15" customHeight="1" x14ac:dyDescent="0.25">
      <c r="A27" s="18"/>
      <c r="B27" s="52" t="s">
        <v>525</v>
      </c>
      <c r="C27" s="186" t="s">
        <v>239</v>
      </c>
      <c r="D27" s="187"/>
      <c r="E27" s="43" t="s">
        <v>700</v>
      </c>
      <c r="F27" s="44"/>
      <c r="G27" s="45"/>
      <c r="H27" s="55" t="s">
        <v>61</v>
      </c>
      <c r="I27" s="188" t="s">
        <v>784</v>
      </c>
      <c r="J27" s="189"/>
      <c r="K27" s="190"/>
      <c r="L27" s="17"/>
    </row>
    <row r="28" spans="1:256" ht="15" customHeight="1" x14ac:dyDescent="0.25">
      <c r="A28" s="18"/>
      <c r="B28" s="53" t="s">
        <v>526</v>
      </c>
      <c r="C28" s="159" t="s">
        <v>436</v>
      </c>
      <c r="D28" s="160"/>
      <c r="E28" s="161"/>
      <c r="F28" s="161"/>
      <c r="G28" s="162"/>
      <c r="H28" s="56" t="s">
        <v>62</v>
      </c>
      <c r="I28" s="163"/>
      <c r="J28" s="164"/>
      <c r="K28" s="165"/>
      <c r="L28" s="17"/>
    </row>
    <row r="29" spans="1:256" ht="15" customHeight="1" x14ac:dyDescent="0.25">
      <c r="A29" s="18"/>
      <c r="B29" s="52" t="s">
        <v>527</v>
      </c>
      <c r="C29" s="159" t="s">
        <v>240</v>
      </c>
      <c r="D29" s="160"/>
      <c r="E29" s="164"/>
      <c r="F29" s="164"/>
      <c r="G29" s="166"/>
      <c r="H29" s="57" t="s">
        <v>241</v>
      </c>
      <c r="I29" s="167"/>
      <c r="J29" s="168"/>
      <c r="K29" s="169"/>
      <c r="L29" s="17"/>
    </row>
    <row r="30" spans="1:256" ht="15" customHeight="1" thickBot="1" x14ac:dyDescent="0.3">
      <c r="A30" s="18"/>
      <c r="B30" s="54" t="s">
        <v>528</v>
      </c>
      <c r="C30" s="170" t="s">
        <v>243</v>
      </c>
      <c r="D30" s="171"/>
      <c r="E30" s="172" t="s">
        <v>797</v>
      </c>
      <c r="F30" s="172"/>
      <c r="G30" s="173"/>
      <c r="H30" s="58" t="s">
        <v>242</v>
      </c>
      <c r="I30" s="172"/>
      <c r="J30" s="172"/>
      <c r="K30" s="174"/>
      <c r="L30" s="17"/>
    </row>
    <row r="31" spans="1:256" ht="15" customHeight="1" thickBot="1" x14ac:dyDescent="0.3">
      <c r="A31" s="18"/>
      <c r="B31" s="156" t="s">
        <v>8</v>
      </c>
      <c r="C31" s="175"/>
      <c r="D31" s="175"/>
      <c r="E31" s="157"/>
      <c r="F31" s="157"/>
      <c r="G31" s="157"/>
      <c r="H31" s="157"/>
      <c r="I31" s="157"/>
      <c r="J31" s="157"/>
      <c r="K31" s="176"/>
      <c r="L31" s="17"/>
    </row>
    <row r="32" spans="1:256" ht="15" customHeight="1" x14ac:dyDescent="0.25">
      <c r="A32" s="18"/>
      <c r="B32" s="177" t="s">
        <v>787</v>
      </c>
      <c r="C32" s="178"/>
      <c r="D32" s="178"/>
      <c r="E32" s="178"/>
      <c r="F32" s="178"/>
      <c r="G32" s="178"/>
      <c r="H32" s="178"/>
      <c r="I32" s="178"/>
      <c r="J32" s="178"/>
      <c r="K32" s="179"/>
      <c r="L32" s="17"/>
    </row>
    <row r="33" spans="1:12" ht="15" customHeight="1" x14ac:dyDescent="0.25">
      <c r="A33" s="18"/>
      <c r="B33" s="180"/>
      <c r="C33" s="181"/>
      <c r="D33" s="181"/>
      <c r="E33" s="181"/>
      <c r="F33" s="181"/>
      <c r="G33" s="181"/>
      <c r="H33" s="181"/>
      <c r="I33" s="181"/>
      <c r="J33" s="181"/>
      <c r="K33" s="182"/>
      <c r="L33" s="17"/>
    </row>
    <row r="34" spans="1:12" ht="15" customHeight="1" x14ac:dyDescent="0.25">
      <c r="A34" s="18"/>
      <c r="B34" s="180"/>
      <c r="C34" s="181"/>
      <c r="D34" s="181"/>
      <c r="E34" s="181"/>
      <c r="F34" s="181"/>
      <c r="G34" s="181"/>
      <c r="H34" s="181"/>
      <c r="I34" s="181"/>
      <c r="J34" s="181"/>
      <c r="K34" s="182"/>
      <c r="L34" s="17"/>
    </row>
    <row r="35" spans="1:12" ht="15" customHeight="1" x14ac:dyDescent="0.25">
      <c r="A35" s="18"/>
      <c r="B35" s="180"/>
      <c r="C35" s="181"/>
      <c r="D35" s="181"/>
      <c r="E35" s="181"/>
      <c r="F35" s="181"/>
      <c r="G35" s="181"/>
      <c r="H35" s="181"/>
      <c r="I35" s="181"/>
      <c r="J35" s="181"/>
      <c r="K35" s="182"/>
      <c r="L35" s="17"/>
    </row>
    <row r="36" spans="1:12" ht="15" customHeight="1" x14ac:dyDescent="0.25">
      <c r="A36" s="18"/>
      <c r="B36" s="180"/>
      <c r="C36" s="181"/>
      <c r="D36" s="181"/>
      <c r="E36" s="181"/>
      <c r="F36" s="181"/>
      <c r="G36" s="181"/>
      <c r="H36" s="181"/>
      <c r="I36" s="181"/>
      <c r="J36" s="181"/>
      <c r="K36" s="182"/>
      <c r="L36" s="17"/>
    </row>
    <row r="37" spans="1:12" ht="15" customHeight="1" thickBot="1" x14ac:dyDescent="0.3">
      <c r="A37" s="18"/>
      <c r="B37" s="183"/>
      <c r="C37" s="184"/>
      <c r="D37" s="184"/>
      <c r="E37" s="184"/>
      <c r="F37" s="184"/>
      <c r="G37" s="184"/>
      <c r="H37" s="184"/>
      <c r="I37" s="184"/>
      <c r="J37" s="184"/>
      <c r="K37" s="185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153" t="s">
        <v>9</v>
      </c>
      <c r="D39" s="154"/>
      <c r="E39" s="154"/>
      <c r="F39" s="154"/>
      <c r="G39" s="155"/>
      <c r="H39" s="18"/>
      <c r="I39" s="156" t="s">
        <v>75</v>
      </c>
      <c r="J39" s="157"/>
      <c r="K39" s="158"/>
      <c r="L39" s="17"/>
    </row>
    <row r="40" spans="1:12" ht="15" customHeight="1" thickBot="1" x14ac:dyDescent="0.3">
      <c r="A40" s="15"/>
      <c r="B40" s="15"/>
      <c r="C40" s="138" t="s">
        <v>19</v>
      </c>
      <c r="D40" s="139"/>
      <c r="E40" s="139"/>
      <c r="F40" s="139"/>
      <c r="G40" s="140"/>
      <c r="H40" s="18"/>
      <c r="I40" s="149" t="s">
        <v>23</v>
      </c>
      <c r="J40" s="151"/>
      <c r="K40" s="49">
        <f>DadosAmostras!L110</f>
        <v>50</v>
      </c>
      <c r="L40" s="17"/>
    </row>
    <row r="41" spans="1:12" ht="15" customHeight="1" thickBot="1" x14ac:dyDescent="0.3">
      <c r="A41" s="15"/>
      <c r="B41" s="15"/>
      <c r="C41" s="138" t="s">
        <v>10</v>
      </c>
      <c r="D41" s="140"/>
      <c r="E41" s="27"/>
      <c r="F41" s="28" t="s">
        <v>15</v>
      </c>
      <c r="G41" s="27"/>
      <c r="H41" s="15"/>
      <c r="I41" s="149" t="s">
        <v>581</v>
      </c>
      <c r="J41" s="152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138" t="s">
        <v>11</v>
      </c>
      <c r="D42" s="140"/>
      <c r="E42" s="15"/>
      <c r="F42" s="29" t="s">
        <v>16</v>
      </c>
      <c r="G42" s="27"/>
      <c r="H42" s="15"/>
      <c r="I42" s="149" t="s">
        <v>57</v>
      </c>
      <c r="J42" s="151"/>
      <c r="K42" s="50" t="s">
        <v>803</v>
      </c>
      <c r="L42" s="17"/>
    </row>
    <row r="43" spans="1:12" ht="15" customHeight="1" thickBot="1" x14ac:dyDescent="0.3">
      <c r="A43" s="15"/>
      <c r="B43" s="15"/>
      <c r="C43" s="138" t="s">
        <v>17</v>
      </c>
      <c r="D43" s="139"/>
      <c r="E43" s="139"/>
      <c r="F43" s="139"/>
      <c r="G43" s="140"/>
      <c r="H43" s="15"/>
      <c r="I43" s="149" t="s">
        <v>58</v>
      </c>
      <c r="J43" s="150"/>
      <c r="K43" s="46"/>
      <c r="L43" s="42"/>
    </row>
    <row r="44" spans="1:12" ht="15" customHeight="1" thickBot="1" x14ac:dyDescent="0.3">
      <c r="A44" s="15"/>
      <c r="B44" s="15"/>
      <c r="C44" s="138" t="s">
        <v>12</v>
      </c>
      <c r="D44" s="139"/>
      <c r="E44" s="139"/>
      <c r="F44" s="139"/>
      <c r="G44" s="140"/>
      <c r="H44" s="15"/>
      <c r="I44" s="149" t="s">
        <v>59</v>
      </c>
      <c r="J44" s="151"/>
      <c r="K44" s="59" t="s">
        <v>616</v>
      </c>
      <c r="L44" s="17"/>
    </row>
    <row r="45" spans="1:12" ht="15" customHeight="1" thickBot="1" x14ac:dyDescent="0.3">
      <c r="A45" s="15"/>
      <c r="B45" s="15"/>
      <c r="C45" s="138" t="s">
        <v>13</v>
      </c>
      <c r="D45" s="139"/>
      <c r="E45" s="139"/>
      <c r="F45" s="139"/>
      <c r="G45" s="140"/>
      <c r="H45" s="15"/>
      <c r="I45" s="149" t="s">
        <v>244</v>
      </c>
      <c r="J45" s="151"/>
      <c r="K45" s="47"/>
      <c r="L45" s="17"/>
    </row>
    <row r="46" spans="1:12" ht="15" customHeight="1" thickBot="1" x14ac:dyDescent="0.3">
      <c r="A46" s="15"/>
      <c r="B46" s="15"/>
      <c r="C46" s="138" t="s">
        <v>14</v>
      </c>
      <c r="D46" s="139"/>
      <c r="E46" s="139"/>
      <c r="F46" s="139"/>
      <c r="G46" s="140"/>
      <c r="H46" s="15"/>
      <c r="I46" s="141" t="s">
        <v>60</v>
      </c>
      <c r="J46" s="142"/>
      <c r="K46" s="48"/>
      <c r="L46" s="17"/>
    </row>
    <row r="47" spans="1:12" ht="15" customHeight="1" thickBot="1" x14ac:dyDescent="0.3">
      <c r="A47" s="15"/>
      <c r="B47" s="15"/>
      <c r="C47" s="138" t="s">
        <v>18</v>
      </c>
      <c r="D47" s="139"/>
      <c r="E47" s="139"/>
      <c r="F47" s="139"/>
      <c r="G47" s="140"/>
      <c r="H47" s="15"/>
      <c r="I47" s="143" t="s">
        <v>523</v>
      </c>
      <c r="J47" s="144"/>
      <c r="K47" s="147"/>
      <c r="L47" s="17"/>
    </row>
    <row r="48" spans="1:12" ht="15" customHeight="1" thickBot="1" x14ac:dyDescent="0.3">
      <c r="A48" s="15"/>
      <c r="B48" s="15"/>
      <c r="C48" s="138" t="s">
        <v>20</v>
      </c>
      <c r="D48" s="139"/>
      <c r="E48" s="139"/>
      <c r="F48" s="139"/>
      <c r="G48" s="140"/>
      <c r="H48" s="15"/>
      <c r="I48" s="145"/>
      <c r="J48" s="146"/>
      <c r="K48" s="148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B7:K7"/>
    <mergeCell ref="I2:K2"/>
    <mergeCell ref="I3:K3"/>
    <mergeCell ref="I4:K4"/>
    <mergeCell ref="I5:K5"/>
    <mergeCell ref="I6:K6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F18:G18"/>
    <mergeCell ref="H18:I18"/>
    <mergeCell ref="J18:K18"/>
    <mergeCell ref="F19:G19"/>
    <mergeCell ref="H19:I19"/>
    <mergeCell ref="J19:K19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40:G40"/>
    <mergeCell ref="I40:J40"/>
    <mergeCell ref="C41:D41"/>
    <mergeCell ref="I41:J41"/>
    <mergeCell ref="C42:D42"/>
    <mergeCell ref="I42:J42"/>
    <mergeCell ref="C43:G43"/>
    <mergeCell ref="I43:J43"/>
    <mergeCell ref="C44:G44"/>
    <mergeCell ref="I44:J44"/>
    <mergeCell ref="C45:G45"/>
    <mergeCell ref="I45:J45"/>
    <mergeCell ref="C46:G46"/>
    <mergeCell ref="I46:J46"/>
    <mergeCell ref="C47:G47"/>
    <mergeCell ref="I47:J48"/>
    <mergeCell ref="K47:K48"/>
    <mergeCell ref="C48:G48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51" zoomScale="70" zoomScaleNormal="70" zoomScaleSheetLayoutView="40" workbookViewId="0">
      <selection activeCell="E70" sqref="E70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81"/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281"/>
      <c r="BD1" s="281"/>
      <c r="BE1" s="281"/>
      <c r="BF1" s="281"/>
      <c r="BG1" s="281"/>
      <c r="BH1" s="281"/>
      <c r="BI1" s="281"/>
      <c r="BJ1" s="281"/>
      <c r="BK1" s="281"/>
      <c r="BL1" s="281"/>
      <c r="BM1" s="281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281"/>
      <c r="BZ1" s="281"/>
      <c r="CA1" s="281"/>
      <c r="CB1" s="281"/>
    </row>
    <row r="2" spans="1:80" ht="35.1" customHeight="1" x14ac:dyDescent="0.3">
      <c r="A2" s="308"/>
      <c r="B2" s="309"/>
      <c r="C2" s="310"/>
      <c r="D2" s="310"/>
      <c r="E2" s="310"/>
      <c r="F2" s="310"/>
      <c r="G2" s="32"/>
      <c r="H2" s="32"/>
      <c r="I2" s="3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308"/>
      <c r="B3" s="311"/>
      <c r="C3" s="308"/>
      <c r="D3" s="308"/>
      <c r="E3" s="308"/>
      <c r="F3" s="308"/>
      <c r="G3" s="17"/>
      <c r="H3" s="17"/>
      <c r="I3" s="17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308"/>
      <c r="B4" s="311"/>
      <c r="C4" s="308"/>
      <c r="D4" s="308"/>
      <c r="E4" s="308"/>
      <c r="F4" s="308"/>
      <c r="G4" s="17"/>
      <c r="H4" s="17"/>
      <c r="I4" s="17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3"/>
      <c r="AC4" s="313"/>
      <c r="AD4" s="313"/>
      <c r="AE4" s="313"/>
      <c r="AF4" s="313"/>
      <c r="AG4" s="313"/>
      <c r="AH4" s="313"/>
      <c r="AI4" s="313"/>
      <c r="AJ4" s="313"/>
      <c r="AK4" s="313"/>
      <c r="AL4" s="313"/>
      <c r="AM4" s="313"/>
      <c r="AN4" s="313"/>
      <c r="AO4" s="313"/>
      <c r="AP4" s="313"/>
      <c r="AQ4" s="313"/>
      <c r="AR4" s="313"/>
      <c r="AS4" s="313"/>
      <c r="AT4" s="313"/>
      <c r="AU4" s="313"/>
      <c r="AV4" s="313"/>
      <c r="AW4" s="313"/>
      <c r="AX4" s="313"/>
      <c r="AY4" s="313"/>
      <c r="AZ4" s="313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308"/>
      <c r="B5" s="311"/>
      <c r="C5" s="308"/>
      <c r="D5" s="308"/>
      <c r="E5" s="308"/>
      <c r="F5" s="308"/>
      <c r="G5" s="17"/>
      <c r="H5" s="17"/>
      <c r="I5" s="17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269"/>
      <c r="AV5" s="269"/>
      <c r="AW5" s="269"/>
      <c r="AX5" s="269"/>
      <c r="AY5" s="269"/>
      <c r="AZ5" s="269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308"/>
      <c r="B6" s="311"/>
      <c r="C6" s="308"/>
      <c r="D6" s="308"/>
      <c r="E6" s="308"/>
      <c r="F6" s="308"/>
      <c r="G6" s="37"/>
      <c r="H6" s="37"/>
      <c r="I6" s="37"/>
      <c r="J6" s="282"/>
      <c r="K6" s="28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308"/>
      <c r="B7" s="314"/>
      <c r="C7" s="315" t="s">
        <v>652</v>
      </c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316"/>
      <c r="AG7" s="316"/>
      <c r="AH7" s="316"/>
      <c r="AI7" s="316"/>
      <c r="AJ7" s="316"/>
      <c r="AK7" s="316"/>
      <c r="AL7" s="316"/>
      <c r="AM7" s="316"/>
      <c r="AN7" s="316"/>
      <c r="AO7" s="316"/>
      <c r="AP7" s="316"/>
      <c r="AQ7" s="316"/>
      <c r="AR7" s="316"/>
      <c r="AS7" s="316"/>
      <c r="AT7" s="316"/>
      <c r="AU7" s="316"/>
      <c r="AV7" s="316"/>
      <c r="AW7" s="316"/>
      <c r="AX7" s="316"/>
      <c r="AY7" s="316"/>
      <c r="AZ7" s="316"/>
      <c r="BA7" s="316"/>
      <c r="BB7" s="316"/>
      <c r="BC7" s="316"/>
      <c r="BD7" s="316"/>
      <c r="BE7" s="316"/>
      <c r="BF7" s="316"/>
      <c r="BG7" s="316"/>
      <c r="BH7" s="316"/>
      <c r="BI7" s="316"/>
      <c r="BJ7" s="316"/>
      <c r="BK7" s="316"/>
      <c r="BL7" s="316"/>
      <c r="BM7" s="316"/>
      <c r="BN7" s="316"/>
      <c r="BO7" s="316"/>
      <c r="BP7" s="316"/>
      <c r="BQ7" s="316"/>
      <c r="BR7" s="316"/>
      <c r="BS7" s="316"/>
      <c r="BT7" s="316"/>
      <c r="BU7" s="316"/>
      <c r="BV7" s="316"/>
      <c r="BW7" s="316"/>
      <c r="BX7" s="316"/>
      <c r="BY7" s="316"/>
      <c r="BZ7" s="316"/>
      <c r="CA7" s="317"/>
      <c r="CB7" s="107"/>
    </row>
    <row r="8" spans="1:80" ht="51.75" customHeight="1" thickBot="1" x14ac:dyDescent="0.3">
      <c r="A8" s="308"/>
      <c r="B8" s="314"/>
      <c r="C8" s="318" t="s">
        <v>29</v>
      </c>
      <c r="D8" s="319"/>
      <c r="E8" s="324" t="s">
        <v>77</v>
      </c>
      <c r="F8" s="324" t="s">
        <v>536</v>
      </c>
      <c r="G8" s="324" t="s">
        <v>524</v>
      </c>
      <c r="H8" s="270" t="s">
        <v>21</v>
      </c>
      <c r="I8" s="270" t="s">
        <v>28</v>
      </c>
      <c r="J8" s="270" t="s">
        <v>534</v>
      </c>
      <c r="K8" s="273" t="s">
        <v>535</v>
      </c>
      <c r="L8" s="275" t="s">
        <v>437</v>
      </c>
      <c r="M8" s="276"/>
      <c r="N8" s="276"/>
      <c r="O8" s="276"/>
      <c r="P8" s="276"/>
      <c r="Q8" s="276"/>
      <c r="R8" s="276"/>
      <c r="S8" s="276"/>
      <c r="T8" s="276"/>
      <c r="U8" s="276"/>
      <c r="V8" s="277"/>
      <c r="W8" s="276" t="s">
        <v>497</v>
      </c>
      <c r="X8" s="276"/>
      <c r="Y8" s="276"/>
      <c r="Z8" s="276"/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8" t="s">
        <v>522</v>
      </c>
      <c r="BZ8" s="278" t="s">
        <v>743</v>
      </c>
      <c r="CA8" s="305" t="s">
        <v>238</v>
      </c>
      <c r="CB8" s="107"/>
    </row>
    <row r="9" spans="1:80" ht="51.75" customHeight="1" thickBot="1" x14ac:dyDescent="0.3">
      <c r="A9" s="308"/>
      <c r="B9" s="314"/>
      <c r="C9" s="320"/>
      <c r="D9" s="321"/>
      <c r="E9" s="325"/>
      <c r="F9" s="325"/>
      <c r="G9" s="325"/>
      <c r="H9" s="271"/>
      <c r="I9" s="271"/>
      <c r="J9" s="271"/>
      <c r="K9" s="274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79"/>
      <c r="BZ9" s="279"/>
      <c r="CA9" s="306"/>
      <c r="CB9" s="107"/>
    </row>
    <row r="10" spans="1:80" ht="88.95" customHeight="1" thickBot="1" x14ac:dyDescent="0.3">
      <c r="A10" s="308"/>
      <c r="B10" s="314"/>
      <c r="C10" s="322"/>
      <c r="D10" s="323"/>
      <c r="E10" s="325"/>
      <c r="F10" s="325"/>
      <c r="G10" s="325"/>
      <c r="H10" s="271"/>
      <c r="I10" s="271"/>
      <c r="J10" s="271"/>
      <c r="K10" s="274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79"/>
      <c r="BZ10" s="279"/>
      <c r="CA10" s="306"/>
      <c r="CB10" s="107"/>
    </row>
    <row r="11" spans="1:80" ht="189.6" thickBot="1" x14ac:dyDescent="0.3">
      <c r="A11" s="308"/>
      <c r="B11" s="314"/>
      <c r="C11" s="74" t="s">
        <v>26</v>
      </c>
      <c r="D11" s="75" t="s">
        <v>27</v>
      </c>
      <c r="E11" s="326"/>
      <c r="F11" s="326"/>
      <c r="G11" s="326"/>
      <c r="H11" s="272"/>
      <c r="I11" s="271"/>
      <c r="J11" s="272"/>
      <c r="K11" s="274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80"/>
      <c r="BZ11" s="280"/>
      <c r="CA11" s="307"/>
      <c r="CB11" s="107"/>
    </row>
    <row r="12" spans="1:80" ht="20.100000000000001" hidden="1" customHeight="1" thickBot="1" x14ac:dyDescent="0.3">
      <c r="A12" s="308"/>
      <c r="B12" s="80"/>
      <c r="C12" s="81"/>
      <c r="D12" s="82"/>
      <c r="E12" s="83"/>
      <c r="F12" s="83"/>
      <c r="G12" s="83"/>
      <c r="H12" s="84"/>
      <c r="I12" s="85"/>
      <c r="J12" s="86"/>
      <c r="K12" s="274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308"/>
      <c r="B13" s="120">
        <v>1</v>
      </c>
      <c r="C13" s="66">
        <v>-48.098043359999998</v>
      </c>
      <c r="D13" s="67">
        <v>-24.996909500000001</v>
      </c>
      <c r="E13" s="69" t="s">
        <v>856</v>
      </c>
      <c r="F13" s="65"/>
      <c r="G13" s="63" t="s">
        <v>805</v>
      </c>
      <c r="H13" s="69" t="s">
        <v>806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804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804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264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308"/>
      <c r="B14" s="120">
        <v>2</v>
      </c>
      <c r="C14" s="66">
        <v>-48.333417359999999</v>
      </c>
      <c r="D14" s="67">
        <v>-24.910889579999999</v>
      </c>
      <c r="E14" s="69" t="s">
        <v>857</v>
      </c>
      <c r="F14" s="65"/>
      <c r="G14" s="63" t="s">
        <v>805</v>
      </c>
      <c r="H14" s="69" t="s">
        <v>807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804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804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65"/>
      <c r="BZ14" s="123">
        <f t="shared" si="1"/>
        <v>150</v>
      </c>
      <c r="CA14" s="104"/>
      <c r="CB14" s="107"/>
    </row>
    <row r="15" spans="1:80" ht="25.2" customHeight="1" thickBot="1" x14ac:dyDescent="0.3">
      <c r="A15" s="308"/>
      <c r="B15" s="120">
        <v>3</v>
      </c>
      <c r="C15" s="66">
        <v>-48.342476670000003</v>
      </c>
      <c r="D15" s="67">
        <v>-24.882036320000001</v>
      </c>
      <c r="E15" s="69" t="s">
        <v>858</v>
      </c>
      <c r="F15" s="65"/>
      <c r="G15" s="63" t="s">
        <v>805</v>
      </c>
      <c r="H15" s="69" t="s">
        <v>808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804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804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65"/>
      <c r="BZ15" s="123">
        <f t="shared" si="1"/>
        <v>150</v>
      </c>
      <c r="CA15" s="104"/>
      <c r="CB15" s="107"/>
    </row>
    <row r="16" spans="1:80" ht="25.2" customHeight="1" thickBot="1" x14ac:dyDescent="0.3">
      <c r="A16" s="308"/>
      <c r="B16" s="120">
        <v>4</v>
      </c>
      <c r="C16" s="66">
        <v>-48.499239950000003</v>
      </c>
      <c r="D16" s="67">
        <v>-24.73603005</v>
      </c>
      <c r="E16" s="69" t="s">
        <v>859</v>
      </c>
      <c r="F16" s="65"/>
      <c r="G16" s="63" t="s">
        <v>805</v>
      </c>
      <c r="H16" s="69" t="s">
        <v>809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804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804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65"/>
      <c r="BZ16" s="123">
        <f t="shared" si="1"/>
        <v>150</v>
      </c>
      <c r="CA16" s="104"/>
      <c r="CB16" s="107"/>
    </row>
    <row r="17" spans="1:80" ht="25.2" customHeight="1" thickBot="1" x14ac:dyDescent="0.3">
      <c r="A17" s="308"/>
      <c r="B17" s="120">
        <v>5</v>
      </c>
      <c r="C17" s="66">
        <v>-48.275970540000003</v>
      </c>
      <c r="D17" s="67">
        <v>-24.661274689999999</v>
      </c>
      <c r="E17" s="69" t="s">
        <v>860</v>
      </c>
      <c r="F17" s="65"/>
      <c r="G17" s="63" t="s">
        <v>805</v>
      </c>
      <c r="H17" s="69" t="s">
        <v>810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804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804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65"/>
      <c r="BZ17" s="123">
        <f t="shared" si="1"/>
        <v>150</v>
      </c>
      <c r="CA17" s="104"/>
      <c r="CB17" s="107"/>
    </row>
    <row r="18" spans="1:80" ht="25.2" customHeight="1" thickBot="1" x14ac:dyDescent="0.3">
      <c r="A18" s="308"/>
      <c r="B18" s="120">
        <v>6</v>
      </c>
      <c r="C18" s="66">
        <v>-48.180997069999997</v>
      </c>
      <c r="D18" s="67">
        <v>-24.659620870000001</v>
      </c>
      <c r="E18" s="69" t="s">
        <v>861</v>
      </c>
      <c r="F18" s="65"/>
      <c r="G18" s="63" t="s">
        <v>805</v>
      </c>
      <c r="H18" s="69" t="s">
        <v>811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804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804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65"/>
      <c r="BZ18" s="123">
        <f t="shared" si="1"/>
        <v>150</v>
      </c>
      <c r="CA18" s="104"/>
      <c r="CB18" s="107"/>
    </row>
    <row r="19" spans="1:80" ht="25.2" customHeight="1" thickBot="1" x14ac:dyDescent="0.3">
      <c r="A19" s="308"/>
      <c r="B19" s="120">
        <v>7</v>
      </c>
      <c r="C19" s="66">
        <v>-48.275249520000003</v>
      </c>
      <c r="D19" s="67">
        <v>-24.661279660000002</v>
      </c>
      <c r="E19" s="69" t="s">
        <v>862</v>
      </c>
      <c r="F19" s="65"/>
      <c r="G19" s="63" t="s">
        <v>805</v>
      </c>
      <c r="H19" s="69" t="s">
        <v>812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804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804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65"/>
      <c r="BZ19" s="123">
        <f t="shared" si="1"/>
        <v>150</v>
      </c>
      <c r="CA19" s="104"/>
      <c r="CB19" s="107"/>
    </row>
    <row r="20" spans="1:80" ht="25.2" customHeight="1" thickBot="1" x14ac:dyDescent="0.3">
      <c r="A20" s="308"/>
      <c r="B20" s="120">
        <v>8</v>
      </c>
      <c r="C20" s="66">
        <v>-48.17935705</v>
      </c>
      <c r="D20" s="67">
        <v>-24.658777879999999</v>
      </c>
      <c r="E20" s="69" t="s">
        <v>863</v>
      </c>
      <c r="F20" s="65"/>
      <c r="G20" s="63" t="s">
        <v>805</v>
      </c>
      <c r="H20" s="69" t="s">
        <v>813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804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804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65"/>
      <c r="BZ20" s="123">
        <f t="shared" si="1"/>
        <v>150</v>
      </c>
      <c r="CA20" s="104"/>
      <c r="CB20" s="107"/>
    </row>
    <row r="21" spans="1:80" ht="25.2" customHeight="1" thickBot="1" x14ac:dyDescent="0.3">
      <c r="A21" s="308"/>
      <c r="B21" s="120">
        <v>9</v>
      </c>
      <c r="C21" s="66">
        <v>-48.005279399999999</v>
      </c>
      <c r="D21" s="67">
        <v>-24.65184258</v>
      </c>
      <c r="E21" s="69" t="s">
        <v>864</v>
      </c>
      <c r="F21" s="65"/>
      <c r="G21" s="63" t="s">
        <v>805</v>
      </c>
      <c r="H21" s="69" t="s">
        <v>814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804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804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65"/>
      <c r="BZ21" s="123">
        <f t="shared" si="1"/>
        <v>150</v>
      </c>
      <c r="CA21" s="104"/>
      <c r="CB21" s="107"/>
    </row>
    <row r="22" spans="1:80" ht="25.2" customHeight="1" thickBot="1" x14ac:dyDescent="0.3">
      <c r="A22" s="308"/>
      <c r="B22" s="120">
        <v>10</v>
      </c>
      <c r="C22" s="66">
        <v>-48.145793099999999</v>
      </c>
      <c r="D22" s="67">
        <v>-24.643136439999999</v>
      </c>
      <c r="E22" s="69" t="s">
        <v>865</v>
      </c>
      <c r="F22" s="65"/>
      <c r="G22" s="63" t="s">
        <v>805</v>
      </c>
      <c r="H22" s="69" t="s">
        <v>815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804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804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65"/>
      <c r="BZ22" s="123">
        <f t="shared" si="1"/>
        <v>150</v>
      </c>
      <c r="CA22" s="104"/>
      <c r="CB22" s="107"/>
    </row>
    <row r="23" spans="1:80" ht="25.2" customHeight="1" thickBot="1" x14ac:dyDescent="0.3">
      <c r="A23" s="308"/>
      <c r="B23" s="120">
        <v>11</v>
      </c>
      <c r="C23" s="66">
        <v>-48.16735233</v>
      </c>
      <c r="D23" s="67">
        <v>-24.642461610000002</v>
      </c>
      <c r="E23" s="69" t="s">
        <v>866</v>
      </c>
      <c r="F23" s="65"/>
      <c r="G23" s="63" t="s">
        <v>805</v>
      </c>
      <c r="H23" s="69" t="s">
        <v>816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804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804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65"/>
      <c r="BZ23" s="123">
        <f t="shared" si="1"/>
        <v>150</v>
      </c>
      <c r="CA23" s="104"/>
      <c r="CB23" s="107"/>
    </row>
    <row r="24" spans="1:80" ht="25.2" customHeight="1" thickBot="1" x14ac:dyDescent="0.3">
      <c r="A24" s="308"/>
      <c r="B24" s="120">
        <v>12</v>
      </c>
      <c r="C24" s="66">
        <v>-48.292941669999998</v>
      </c>
      <c r="D24" s="67">
        <v>-24.643206939999999</v>
      </c>
      <c r="E24" s="69" t="s">
        <v>867</v>
      </c>
      <c r="F24" s="65"/>
      <c r="G24" s="63" t="s">
        <v>805</v>
      </c>
      <c r="H24" s="69" t="s">
        <v>817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804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804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65"/>
      <c r="BZ24" s="123">
        <f t="shared" si="1"/>
        <v>150</v>
      </c>
      <c r="CA24" s="104"/>
      <c r="CB24" s="107"/>
    </row>
    <row r="25" spans="1:80" ht="25.2" customHeight="1" thickBot="1" x14ac:dyDescent="0.3">
      <c r="A25" s="308"/>
      <c r="B25" s="120">
        <v>13</v>
      </c>
      <c r="C25" s="66">
        <v>-48.298347319999998</v>
      </c>
      <c r="D25" s="67">
        <v>-24.641625609999998</v>
      </c>
      <c r="E25" s="69" t="s">
        <v>868</v>
      </c>
      <c r="F25" s="65"/>
      <c r="G25" s="63" t="s">
        <v>805</v>
      </c>
      <c r="H25" s="69" t="s">
        <v>818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804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804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65"/>
      <c r="BZ25" s="123">
        <f t="shared" si="1"/>
        <v>150</v>
      </c>
      <c r="CA25" s="104"/>
      <c r="CB25" s="107"/>
    </row>
    <row r="26" spans="1:80" ht="25.2" customHeight="1" thickBot="1" x14ac:dyDescent="0.3">
      <c r="A26" s="308"/>
      <c r="B26" s="120">
        <v>14</v>
      </c>
      <c r="C26" s="66">
        <v>-48.301301389999999</v>
      </c>
      <c r="D26" s="67">
        <v>-24.639250990000001</v>
      </c>
      <c r="E26" s="69" t="s">
        <v>869</v>
      </c>
      <c r="F26" s="65"/>
      <c r="G26" s="63" t="s">
        <v>805</v>
      </c>
      <c r="H26" s="69" t="s">
        <v>819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804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804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65"/>
      <c r="BZ26" s="123">
        <f t="shared" si="1"/>
        <v>150</v>
      </c>
      <c r="CA26" s="104"/>
      <c r="CB26" s="107"/>
    </row>
    <row r="27" spans="1:80" ht="25.2" customHeight="1" thickBot="1" x14ac:dyDescent="0.3">
      <c r="A27" s="308"/>
      <c r="B27" s="120">
        <v>15</v>
      </c>
      <c r="C27" s="66">
        <v>-48.032042730000001</v>
      </c>
      <c r="D27" s="67">
        <v>-24.614826829999998</v>
      </c>
      <c r="E27" s="69" t="s">
        <v>870</v>
      </c>
      <c r="F27" s="65"/>
      <c r="G27" s="63" t="s">
        <v>805</v>
      </c>
      <c r="H27" s="69" t="s">
        <v>820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804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804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65"/>
      <c r="BZ27" s="123">
        <f t="shared" si="1"/>
        <v>150</v>
      </c>
      <c r="CA27" s="104"/>
      <c r="CB27" s="107"/>
    </row>
    <row r="28" spans="1:80" ht="25.2" customHeight="1" thickBot="1" x14ac:dyDescent="0.3">
      <c r="A28" s="308"/>
      <c r="B28" s="120">
        <v>16</v>
      </c>
      <c r="C28" s="66">
        <v>-48.12808914</v>
      </c>
      <c r="D28" s="67">
        <v>-24.626348109999999</v>
      </c>
      <c r="E28" s="69" t="s">
        <v>871</v>
      </c>
      <c r="F28" s="65"/>
      <c r="G28" s="63" t="s">
        <v>805</v>
      </c>
      <c r="H28" s="69" t="s">
        <v>821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804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804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65"/>
      <c r="BZ28" s="123">
        <f t="shared" si="1"/>
        <v>150</v>
      </c>
      <c r="CA28" s="104"/>
      <c r="CB28" s="107"/>
    </row>
    <row r="29" spans="1:80" ht="25.2" customHeight="1" thickBot="1" x14ac:dyDescent="0.3">
      <c r="A29" s="308"/>
      <c r="B29" s="120">
        <v>17</v>
      </c>
      <c r="C29" s="66">
        <v>-48.064194620000002</v>
      </c>
      <c r="D29" s="67">
        <v>-24.62144992</v>
      </c>
      <c r="E29" s="69" t="s">
        <v>872</v>
      </c>
      <c r="F29" s="65"/>
      <c r="G29" s="63" t="s">
        <v>805</v>
      </c>
      <c r="H29" s="69" t="s">
        <v>822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804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804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65"/>
      <c r="BZ29" s="123">
        <f t="shared" si="1"/>
        <v>150</v>
      </c>
      <c r="CA29" s="104"/>
      <c r="CB29" s="107"/>
    </row>
    <row r="30" spans="1:80" ht="25.2" customHeight="1" thickBot="1" x14ac:dyDescent="0.3">
      <c r="A30" s="308"/>
      <c r="B30" s="120">
        <v>18</v>
      </c>
      <c r="C30" s="66">
        <v>-48.050413730000002</v>
      </c>
      <c r="D30" s="67">
        <v>-24.624419629999998</v>
      </c>
      <c r="E30" s="69" t="s">
        <v>873</v>
      </c>
      <c r="F30" s="65"/>
      <c r="G30" s="63" t="s">
        <v>805</v>
      </c>
      <c r="H30" s="69" t="s">
        <v>823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804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804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65"/>
      <c r="BZ30" s="123">
        <f t="shared" si="1"/>
        <v>150</v>
      </c>
      <c r="CA30" s="104"/>
      <c r="CB30" s="107"/>
    </row>
    <row r="31" spans="1:80" ht="25.2" customHeight="1" thickBot="1" x14ac:dyDescent="0.3">
      <c r="A31" s="308"/>
      <c r="B31" s="120">
        <v>19</v>
      </c>
      <c r="C31" s="66">
        <v>-48.286464199999998</v>
      </c>
      <c r="D31" s="67">
        <v>-24.619905150000001</v>
      </c>
      <c r="E31" s="69" t="s">
        <v>874</v>
      </c>
      <c r="F31" s="65"/>
      <c r="G31" s="63" t="s">
        <v>805</v>
      </c>
      <c r="H31" s="69" t="s">
        <v>824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804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804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65"/>
      <c r="BZ31" s="123">
        <f t="shared" si="1"/>
        <v>150</v>
      </c>
      <c r="CA31" s="104"/>
      <c r="CB31" s="107"/>
    </row>
    <row r="32" spans="1:80" ht="25.2" customHeight="1" thickBot="1" x14ac:dyDescent="0.3">
      <c r="A32" s="308"/>
      <c r="B32" s="120">
        <v>20</v>
      </c>
      <c r="C32" s="66">
        <v>-48.030576750000002</v>
      </c>
      <c r="D32" s="67">
        <v>-24.60877915</v>
      </c>
      <c r="E32" s="69" t="s">
        <v>875</v>
      </c>
      <c r="F32" s="65"/>
      <c r="G32" s="63" t="s">
        <v>805</v>
      </c>
      <c r="H32" s="69" t="s">
        <v>825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804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804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65"/>
      <c r="BZ32" s="123">
        <f t="shared" si="1"/>
        <v>150</v>
      </c>
      <c r="CA32" s="104"/>
      <c r="CB32" s="107"/>
    </row>
    <row r="33" spans="1:80" ht="25.2" customHeight="1" thickBot="1" x14ac:dyDescent="0.3">
      <c r="A33" s="308"/>
      <c r="B33" s="120">
        <v>21</v>
      </c>
      <c r="C33" s="66">
        <v>-48.210985469999997</v>
      </c>
      <c r="D33" s="67">
        <v>-24.611719319999999</v>
      </c>
      <c r="E33" s="69" t="s">
        <v>876</v>
      </c>
      <c r="F33" s="65"/>
      <c r="G33" s="63" t="s">
        <v>805</v>
      </c>
      <c r="H33" s="69" t="s">
        <v>826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804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804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65"/>
      <c r="BZ33" s="123">
        <f t="shared" si="1"/>
        <v>150</v>
      </c>
      <c r="CA33" s="104"/>
      <c r="CB33" s="107"/>
    </row>
    <row r="34" spans="1:80" ht="25.2" customHeight="1" thickBot="1" x14ac:dyDescent="0.3">
      <c r="A34" s="308"/>
      <c r="B34" s="120">
        <v>22</v>
      </c>
      <c r="C34" s="66">
        <v>-48.212994209999998</v>
      </c>
      <c r="D34" s="67">
        <v>-24.60927482</v>
      </c>
      <c r="E34" s="69" t="s">
        <v>877</v>
      </c>
      <c r="F34" s="65"/>
      <c r="G34" s="63" t="s">
        <v>805</v>
      </c>
      <c r="H34" s="69" t="s">
        <v>827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804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804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65"/>
      <c r="BZ34" s="123">
        <f t="shared" si="1"/>
        <v>150</v>
      </c>
      <c r="CA34" s="104"/>
      <c r="CB34" s="107"/>
    </row>
    <row r="35" spans="1:80" ht="25.2" customHeight="1" thickBot="1" x14ac:dyDescent="0.3">
      <c r="A35" s="308"/>
      <c r="B35" s="120">
        <v>23</v>
      </c>
      <c r="C35" s="66">
        <v>-48.475386010000001</v>
      </c>
      <c r="D35" s="67">
        <v>-24.609377989999999</v>
      </c>
      <c r="E35" s="69" t="s">
        <v>878</v>
      </c>
      <c r="F35" s="65"/>
      <c r="G35" s="63" t="s">
        <v>805</v>
      </c>
      <c r="H35" s="69" t="s">
        <v>828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804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804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65"/>
      <c r="BZ35" s="123">
        <f t="shared" si="1"/>
        <v>150</v>
      </c>
      <c r="CA35" s="104"/>
      <c r="CB35" s="107"/>
    </row>
    <row r="36" spans="1:80" ht="25.2" customHeight="1" thickBot="1" x14ac:dyDescent="0.3">
      <c r="A36" s="308"/>
      <c r="B36" s="120">
        <v>24</v>
      </c>
      <c r="C36" s="66">
        <v>-48.27874722</v>
      </c>
      <c r="D36" s="67">
        <v>-24.604712190000001</v>
      </c>
      <c r="E36" s="69" t="s">
        <v>879</v>
      </c>
      <c r="F36" s="65"/>
      <c r="G36" s="63" t="s">
        <v>805</v>
      </c>
      <c r="H36" s="69" t="s">
        <v>829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804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804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65"/>
      <c r="BZ36" s="123">
        <f t="shared" si="1"/>
        <v>150</v>
      </c>
      <c r="CA36" s="104"/>
      <c r="CB36" s="107"/>
    </row>
    <row r="37" spans="1:80" ht="25.2" customHeight="1" thickBot="1" x14ac:dyDescent="0.3">
      <c r="A37" s="308"/>
      <c r="B37" s="120">
        <v>25</v>
      </c>
      <c r="C37" s="66">
        <v>-48.2416196</v>
      </c>
      <c r="D37" s="67">
        <v>-24.591780320000002</v>
      </c>
      <c r="E37" s="69" t="s">
        <v>880</v>
      </c>
      <c r="F37" s="65"/>
      <c r="G37" s="63" t="s">
        <v>805</v>
      </c>
      <c r="H37" s="69" t="s">
        <v>830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804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804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65"/>
      <c r="BZ37" s="123">
        <f t="shared" si="1"/>
        <v>150</v>
      </c>
      <c r="CA37" s="104"/>
      <c r="CB37" s="107"/>
    </row>
    <row r="38" spans="1:80" ht="25.2" customHeight="1" thickBot="1" x14ac:dyDescent="0.3">
      <c r="A38" s="308"/>
      <c r="B38" s="120">
        <v>26</v>
      </c>
      <c r="C38" s="66">
        <v>-48.341758069999997</v>
      </c>
      <c r="D38" s="67">
        <v>-24.594801260000001</v>
      </c>
      <c r="E38" s="69" t="s">
        <v>881</v>
      </c>
      <c r="F38" s="65"/>
      <c r="G38" s="63" t="s">
        <v>805</v>
      </c>
      <c r="H38" s="69" t="s">
        <v>831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804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804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65"/>
      <c r="BZ38" s="123">
        <f t="shared" si="1"/>
        <v>150</v>
      </c>
      <c r="CA38" s="104"/>
      <c r="CB38" s="107"/>
    </row>
    <row r="39" spans="1:80" ht="25.2" customHeight="1" thickBot="1" x14ac:dyDescent="0.3">
      <c r="A39" s="308"/>
      <c r="B39" s="120">
        <v>27</v>
      </c>
      <c r="C39" s="66">
        <v>-48.460303869999997</v>
      </c>
      <c r="D39" s="67">
        <v>-24.592119570000001</v>
      </c>
      <c r="E39" s="69" t="s">
        <v>882</v>
      </c>
      <c r="F39" s="65"/>
      <c r="G39" s="63" t="s">
        <v>805</v>
      </c>
      <c r="H39" s="69" t="s">
        <v>832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804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804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65"/>
      <c r="BZ39" s="123">
        <f t="shared" si="1"/>
        <v>150</v>
      </c>
      <c r="CA39" s="104"/>
      <c r="CB39" s="107"/>
    </row>
    <row r="40" spans="1:80" ht="25.2" customHeight="1" thickBot="1" x14ac:dyDescent="0.3">
      <c r="A40" s="308"/>
      <c r="B40" s="120">
        <v>28</v>
      </c>
      <c r="C40" s="66">
        <v>-48.198381959999999</v>
      </c>
      <c r="D40" s="67">
        <v>-24.585485500000001</v>
      </c>
      <c r="E40" s="69" t="s">
        <v>883</v>
      </c>
      <c r="F40" s="65"/>
      <c r="G40" s="63" t="s">
        <v>805</v>
      </c>
      <c r="H40" s="69" t="s">
        <v>833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804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804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65"/>
      <c r="BZ40" s="123">
        <f t="shared" si="1"/>
        <v>150</v>
      </c>
      <c r="CA40" s="104"/>
      <c r="CB40" s="107"/>
    </row>
    <row r="41" spans="1:80" ht="25.2" customHeight="1" thickBot="1" x14ac:dyDescent="0.3">
      <c r="A41" s="308"/>
      <c r="B41" s="120">
        <v>29</v>
      </c>
      <c r="C41" s="66">
        <v>-48.284099269999999</v>
      </c>
      <c r="D41" s="67">
        <v>-24.58725549</v>
      </c>
      <c r="E41" s="69" t="s">
        <v>884</v>
      </c>
      <c r="F41" s="65"/>
      <c r="G41" s="63" t="s">
        <v>805</v>
      </c>
      <c r="H41" s="69" t="s">
        <v>834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804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804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65"/>
      <c r="BZ41" s="123">
        <f t="shared" si="1"/>
        <v>150</v>
      </c>
      <c r="CA41" s="104"/>
      <c r="CB41" s="107"/>
    </row>
    <row r="42" spans="1:80" ht="25.2" customHeight="1" thickBot="1" x14ac:dyDescent="0.3">
      <c r="A42" s="308"/>
      <c r="B42" s="120">
        <v>30</v>
      </c>
      <c r="C42" s="66">
        <v>-48.243902259999999</v>
      </c>
      <c r="D42" s="67">
        <v>-24.583997719999999</v>
      </c>
      <c r="E42" s="69" t="s">
        <v>885</v>
      </c>
      <c r="F42" s="65"/>
      <c r="G42" s="63" t="s">
        <v>805</v>
      </c>
      <c r="H42" s="69" t="s">
        <v>835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804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804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65"/>
      <c r="BZ42" s="123">
        <f t="shared" si="1"/>
        <v>150</v>
      </c>
      <c r="CA42" s="104"/>
      <c r="CB42" s="107"/>
    </row>
    <row r="43" spans="1:80" ht="25.2" customHeight="1" thickBot="1" x14ac:dyDescent="0.3">
      <c r="A43" s="308"/>
      <c r="B43" s="120">
        <v>31</v>
      </c>
      <c r="C43" s="66">
        <v>-48.002625860000002</v>
      </c>
      <c r="D43" s="67">
        <v>-24.569396619999999</v>
      </c>
      <c r="E43" s="69" t="s">
        <v>886</v>
      </c>
      <c r="F43" s="65"/>
      <c r="G43" s="63" t="s">
        <v>805</v>
      </c>
      <c r="H43" s="69" t="s">
        <v>836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804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804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65"/>
      <c r="BZ43" s="123">
        <f t="shared" si="1"/>
        <v>150</v>
      </c>
      <c r="CA43" s="104"/>
      <c r="CB43" s="107"/>
    </row>
    <row r="44" spans="1:80" ht="25.2" customHeight="1" thickBot="1" x14ac:dyDescent="0.3">
      <c r="A44" s="308"/>
      <c r="B44" s="120">
        <v>32</v>
      </c>
      <c r="C44" s="66">
        <v>-48.150056769999999</v>
      </c>
      <c r="D44" s="67">
        <v>-24.572250919999998</v>
      </c>
      <c r="E44" s="69" t="s">
        <v>887</v>
      </c>
      <c r="F44" s="65"/>
      <c r="G44" s="63" t="s">
        <v>805</v>
      </c>
      <c r="H44" s="69" t="s">
        <v>837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804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804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65"/>
      <c r="BZ44" s="123">
        <f t="shared" si="1"/>
        <v>150</v>
      </c>
      <c r="CA44" s="104"/>
      <c r="CB44" s="107"/>
    </row>
    <row r="45" spans="1:80" ht="25.2" customHeight="1" thickBot="1" x14ac:dyDescent="0.3">
      <c r="A45" s="308"/>
      <c r="B45" s="120">
        <v>33</v>
      </c>
      <c r="C45" s="66">
        <v>-48.388789060000001</v>
      </c>
      <c r="D45" s="67">
        <v>-24.567853639999999</v>
      </c>
      <c r="E45" s="69" t="s">
        <v>888</v>
      </c>
      <c r="F45" s="65"/>
      <c r="G45" s="63" t="s">
        <v>805</v>
      </c>
      <c r="H45" s="69" t="s">
        <v>838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804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804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65"/>
      <c r="BZ45" s="123">
        <f t="shared" si="1"/>
        <v>150</v>
      </c>
      <c r="CA45" s="104"/>
      <c r="CB45" s="107"/>
    </row>
    <row r="46" spans="1:80" ht="25.2" customHeight="1" thickBot="1" x14ac:dyDescent="0.3">
      <c r="A46" s="308"/>
      <c r="B46" s="120">
        <v>34</v>
      </c>
      <c r="C46" s="66">
        <v>-48.273715510000002</v>
      </c>
      <c r="D46" s="67">
        <v>-24.564505539999999</v>
      </c>
      <c r="E46" s="69" t="s">
        <v>889</v>
      </c>
      <c r="F46" s="65"/>
      <c r="G46" s="63" t="s">
        <v>805</v>
      </c>
      <c r="H46" s="69" t="s">
        <v>839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804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804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65"/>
      <c r="BZ46" s="123">
        <f t="shared" si="1"/>
        <v>150</v>
      </c>
      <c r="CA46" s="104"/>
      <c r="CB46" s="107"/>
    </row>
    <row r="47" spans="1:80" ht="25.2" customHeight="1" thickBot="1" x14ac:dyDescent="0.3">
      <c r="A47" s="308"/>
      <c r="B47" s="120">
        <v>35</v>
      </c>
      <c r="C47" s="66">
        <v>-48.04384383</v>
      </c>
      <c r="D47" s="67">
        <v>-24.559987830000001</v>
      </c>
      <c r="E47" s="69" t="s">
        <v>890</v>
      </c>
      <c r="F47" s="65"/>
      <c r="G47" s="63" t="s">
        <v>805</v>
      </c>
      <c r="H47" s="69" t="s">
        <v>840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804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804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65"/>
      <c r="BZ47" s="123">
        <f t="shared" si="1"/>
        <v>150</v>
      </c>
      <c r="CA47" s="104"/>
      <c r="CB47" s="107"/>
    </row>
    <row r="48" spans="1:80" ht="25.2" customHeight="1" thickBot="1" x14ac:dyDescent="0.3">
      <c r="A48" s="308"/>
      <c r="B48" s="120">
        <v>36</v>
      </c>
      <c r="C48" s="66">
        <v>-48.180473509999999</v>
      </c>
      <c r="D48" s="67">
        <v>-24.55974732</v>
      </c>
      <c r="E48" s="69" t="s">
        <v>891</v>
      </c>
      <c r="F48" s="65"/>
      <c r="G48" s="63" t="s">
        <v>805</v>
      </c>
      <c r="H48" s="69" t="s">
        <v>841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804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804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65"/>
      <c r="BZ48" s="123">
        <f t="shared" si="1"/>
        <v>150</v>
      </c>
      <c r="CA48" s="104"/>
      <c r="CB48" s="107"/>
    </row>
    <row r="49" spans="1:80" ht="25.2" customHeight="1" thickBot="1" x14ac:dyDescent="0.3">
      <c r="A49" s="308"/>
      <c r="B49" s="120">
        <v>37</v>
      </c>
      <c r="C49" s="66">
        <v>-48.272978139999999</v>
      </c>
      <c r="D49" s="67">
        <v>-24.562100600000001</v>
      </c>
      <c r="E49" s="69" t="s">
        <v>892</v>
      </c>
      <c r="F49" s="65"/>
      <c r="G49" s="63" t="s">
        <v>805</v>
      </c>
      <c r="H49" s="69" t="s">
        <v>842</v>
      </c>
      <c r="I49" s="64" t="s">
        <v>560</v>
      </c>
      <c r="J49" s="68" t="s">
        <v>48</v>
      </c>
      <c r="K49" s="104">
        <v>1000</v>
      </c>
      <c r="L49" s="4"/>
      <c r="M49" s="100" t="str">
        <f t="shared" si="2"/>
        <v/>
      </c>
      <c r="N49" s="4"/>
      <c r="O49" s="101" t="str">
        <f t="shared" si="0"/>
        <v/>
      </c>
      <c r="P49" s="4" t="s">
        <v>804</v>
      </c>
      <c r="Q49" s="101">
        <f t="shared" si="0"/>
        <v>8.7799999999999994</v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 t="s">
        <v>804</v>
      </c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65"/>
      <c r="BZ49" s="123">
        <f t="shared" si="1"/>
        <v>150</v>
      </c>
      <c r="CA49" s="104"/>
      <c r="CB49" s="107"/>
    </row>
    <row r="50" spans="1:80" ht="25.2" customHeight="1" thickBot="1" x14ac:dyDescent="0.3">
      <c r="A50" s="308"/>
      <c r="B50" s="120">
        <v>38</v>
      </c>
      <c r="C50" s="66">
        <v>-48.151644619999999</v>
      </c>
      <c r="D50" s="67">
        <v>-24.559637980000002</v>
      </c>
      <c r="E50" s="69" t="s">
        <v>893</v>
      </c>
      <c r="F50" s="65"/>
      <c r="G50" s="63" t="s">
        <v>805</v>
      </c>
      <c r="H50" s="69" t="s">
        <v>843</v>
      </c>
      <c r="I50" s="64" t="s">
        <v>560</v>
      </c>
      <c r="J50" s="68" t="s">
        <v>48</v>
      </c>
      <c r="K50" s="104">
        <v>1000</v>
      </c>
      <c r="L50" s="4"/>
      <c r="M50" s="100" t="str">
        <f t="shared" si="2"/>
        <v/>
      </c>
      <c r="N50" s="4"/>
      <c r="O50" s="101" t="str">
        <f t="shared" si="0"/>
        <v/>
      </c>
      <c r="P50" s="4" t="s">
        <v>804</v>
      </c>
      <c r="Q50" s="101">
        <f t="shared" si="0"/>
        <v>8.7799999999999994</v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 t="s">
        <v>804</v>
      </c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65"/>
      <c r="BZ50" s="123">
        <f t="shared" si="1"/>
        <v>150</v>
      </c>
      <c r="CA50" s="104"/>
      <c r="CB50" s="107"/>
    </row>
    <row r="51" spans="1:80" ht="25.2" customHeight="1" thickBot="1" x14ac:dyDescent="0.3">
      <c r="A51" s="308"/>
      <c r="B51" s="120">
        <v>39</v>
      </c>
      <c r="C51" s="66">
        <v>-48.391673879999999</v>
      </c>
      <c r="D51" s="67">
        <v>-24.564844010000002</v>
      </c>
      <c r="E51" s="69" t="s">
        <v>894</v>
      </c>
      <c r="F51" s="65"/>
      <c r="G51" s="63" t="s">
        <v>805</v>
      </c>
      <c r="H51" s="69" t="s">
        <v>844</v>
      </c>
      <c r="I51" s="64" t="s">
        <v>560</v>
      </c>
      <c r="J51" s="68" t="s">
        <v>48</v>
      </c>
      <c r="K51" s="104">
        <v>1000</v>
      </c>
      <c r="L51" s="4"/>
      <c r="M51" s="100" t="str">
        <f t="shared" si="2"/>
        <v/>
      </c>
      <c r="N51" s="4"/>
      <c r="O51" s="101" t="str">
        <f t="shared" si="0"/>
        <v/>
      </c>
      <c r="P51" s="4" t="s">
        <v>804</v>
      </c>
      <c r="Q51" s="101">
        <f t="shared" si="0"/>
        <v>8.7799999999999994</v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 t="s">
        <v>804</v>
      </c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65"/>
      <c r="BZ51" s="123">
        <f t="shared" si="1"/>
        <v>150</v>
      </c>
      <c r="CA51" s="104"/>
      <c r="CB51" s="107"/>
    </row>
    <row r="52" spans="1:80" ht="25.2" customHeight="1" thickBot="1" x14ac:dyDescent="0.3">
      <c r="A52" s="308"/>
      <c r="B52" s="120">
        <v>40</v>
      </c>
      <c r="C52" s="66">
        <v>-48.128948880000003</v>
      </c>
      <c r="D52" s="67">
        <v>-24.546735609999999</v>
      </c>
      <c r="E52" s="69" t="s">
        <v>895</v>
      </c>
      <c r="F52" s="65"/>
      <c r="G52" s="63" t="s">
        <v>805</v>
      </c>
      <c r="H52" s="69" t="s">
        <v>845</v>
      </c>
      <c r="I52" s="64" t="s">
        <v>560</v>
      </c>
      <c r="J52" s="68" t="s">
        <v>48</v>
      </c>
      <c r="K52" s="104">
        <v>1000</v>
      </c>
      <c r="L52" s="4"/>
      <c r="M52" s="100" t="str">
        <f t="shared" si="2"/>
        <v/>
      </c>
      <c r="N52" s="4"/>
      <c r="O52" s="101" t="str">
        <f t="shared" si="0"/>
        <v/>
      </c>
      <c r="P52" s="4" t="s">
        <v>804</v>
      </c>
      <c r="Q52" s="101">
        <f t="shared" si="0"/>
        <v>8.7799999999999994</v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 t="s">
        <v>804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65"/>
      <c r="BZ52" s="123">
        <f t="shared" si="1"/>
        <v>150</v>
      </c>
      <c r="CA52" s="104"/>
      <c r="CB52" s="107"/>
    </row>
    <row r="53" spans="1:80" ht="25.2" customHeight="1" thickBot="1" x14ac:dyDescent="0.3">
      <c r="A53" s="308"/>
      <c r="B53" s="120">
        <v>41</v>
      </c>
      <c r="C53" s="66">
        <v>-48.426086480000002</v>
      </c>
      <c r="D53" s="67">
        <v>-24.553711839999998</v>
      </c>
      <c r="E53" s="69" t="s">
        <v>896</v>
      </c>
      <c r="F53" s="65"/>
      <c r="G53" s="63" t="s">
        <v>805</v>
      </c>
      <c r="H53" s="69" t="s">
        <v>846</v>
      </c>
      <c r="I53" s="64" t="s">
        <v>560</v>
      </c>
      <c r="J53" s="68" t="s">
        <v>48</v>
      </c>
      <c r="K53" s="104">
        <v>1000</v>
      </c>
      <c r="L53" s="4"/>
      <c r="M53" s="100" t="str">
        <f t="shared" si="2"/>
        <v/>
      </c>
      <c r="N53" s="4"/>
      <c r="O53" s="101" t="str">
        <f t="shared" si="0"/>
        <v/>
      </c>
      <c r="P53" s="4" t="s">
        <v>804</v>
      </c>
      <c r="Q53" s="101">
        <f t="shared" si="0"/>
        <v>8.7799999999999994</v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 t="s">
        <v>804</v>
      </c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65"/>
      <c r="BZ53" s="123">
        <f t="shared" si="1"/>
        <v>150</v>
      </c>
      <c r="CA53" s="104"/>
      <c r="CB53" s="107"/>
    </row>
    <row r="54" spans="1:80" ht="25.2" customHeight="1" thickBot="1" x14ac:dyDescent="0.3">
      <c r="A54" s="308"/>
      <c r="B54" s="120">
        <v>42</v>
      </c>
      <c r="C54" s="66">
        <v>-48.004601940000001</v>
      </c>
      <c r="D54" s="67">
        <v>-24.54355657</v>
      </c>
      <c r="E54" s="69" t="s">
        <v>897</v>
      </c>
      <c r="F54" s="65"/>
      <c r="G54" s="63" t="s">
        <v>805</v>
      </c>
      <c r="H54" s="69" t="s">
        <v>847</v>
      </c>
      <c r="I54" s="64" t="s">
        <v>560</v>
      </c>
      <c r="J54" s="68" t="s">
        <v>48</v>
      </c>
      <c r="K54" s="104">
        <v>1000</v>
      </c>
      <c r="L54" s="4"/>
      <c r="M54" s="100" t="str">
        <f t="shared" si="2"/>
        <v/>
      </c>
      <c r="N54" s="4"/>
      <c r="O54" s="101" t="str">
        <f t="shared" si="0"/>
        <v/>
      </c>
      <c r="P54" s="4" t="s">
        <v>804</v>
      </c>
      <c r="Q54" s="101">
        <f t="shared" si="0"/>
        <v>8.7799999999999994</v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 t="s">
        <v>804</v>
      </c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65"/>
      <c r="BZ54" s="123">
        <f t="shared" si="1"/>
        <v>150</v>
      </c>
      <c r="CA54" s="104"/>
      <c r="CB54" s="107"/>
    </row>
    <row r="55" spans="1:80" ht="25.2" customHeight="1" thickBot="1" x14ac:dyDescent="0.3">
      <c r="A55" s="308"/>
      <c r="B55" s="120">
        <v>43</v>
      </c>
      <c r="C55" s="66">
        <v>-47.998229979999998</v>
      </c>
      <c r="D55" s="67">
        <v>-24.53902458</v>
      </c>
      <c r="E55" s="69" t="s">
        <v>898</v>
      </c>
      <c r="F55" s="65"/>
      <c r="G55" s="63" t="s">
        <v>805</v>
      </c>
      <c r="H55" s="69" t="s">
        <v>848</v>
      </c>
      <c r="I55" s="64" t="s">
        <v>560</v>
      </c>
      <c r="J55" s="68" t="s">
        <v>48</v>
      </c>
      <c r="K55" s="104">
        <v>1000</v>
      </c>
      <c r="L55" s="4"/>
      <c r="M55" s="100" t="str">
        <f t="shared" si="2"/>
        <v/>
      </c>
      <c r="N55" s="4"/>
      <c r="O55" s="101" t="str">
        <f t="shared" si="0"/>
        <v/>
      </c>
      <c r="P55" s="4" t="s">
        <v>804</v>
      </c>
      <c r="Q55" s="101">
        <f t="shared" si="0"/>
        <v>8.7799999999999994</v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 t="s">
        <v>804</v>
      </c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65"/>
      <c r="BZ55" s="123">
        <f t="shared" si="1"/>
        <v>150</v>
      </c>
      <c r="CA55" s="104"/>
      <c r="CB55" s="107"/>
    </row>
    <row r="56" spans="1:80" ht="25.2" customHeight="1" thickBot="1" x14ac:dyDescent="0.3">
      <c r="A56" s="308"/>
      <c r="B56" s="120">
        <v>44</v>
      </c>
      <c r="C56" s="66">
        <v>-48.134101950000002</v>
      </c>
      <c r="D56" s="67">
        <v>-24.533577180000002</v>
      </c>
      <c r="E56" s="69" t="s">
        <v>899</v>
      </c>
      <c r="F56" s="65"/>
      <c r="G56" s="63" t="s">
        <v>805</v>
      </c>
      <c r="H56" s="69" t="s">
        <v>849</v>
      </c>
      <c r="I56" s="64" t="s">
        <v>560</v>
      </c>
      <c r="J56" s="68" t="s">
        <v>48</v>
      </c>
      <c r="K56" s="104">
        <v>1000</v>
      </c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 t="s">
        <v>804</v>
      </c>
      <c r="Q56" s="102">
        <f t="shared" si="3"/>
        <v>8.7799999999999994</v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 t="s">
        <v>804</v>
      </c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266"/>
      <c r="BZ56" s="124">
        <f t="shared" si="1"/>
        <v>150</v>
      </c>
      <c r="CA56" s="105"/>
      <c r="CB56" s="107"/>
    </row>
    <row r="57" spans="1:80" ht="15" customHeight="1" x14ac:dyDescent="0.25">
      <c r="A57" s="308"/>
      <c r="B57" s="300"/>
      <c r="C57" s="301"/>
      <c r="D57" s="301"/>
      <c r="E57" s="301"/>
      <c r="F57" s="301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308"/>
      <c r="B58" s="302"/>
      <c r="C58" s="281"/>
      <c r="D58" s="281"/>
      <c r="E58" s="281"/>
      <c r="F58" s="281"/>
      <c r="G58" s="17"/>
      <c r="H58" s="17"/>
      <c r="I58" s="1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308"/>
      <c r="B59" s="302"/>
      <c r="C59" s="281"/>
      <c r="D59" s="281"/>
      <c r="E59" s="281"/>
      <c r="F59" s="281"/>
      <c r="G59" s="17"/>
      <c r="H59" s="17"/>
      <c r="I59" s="17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308"/>
      <c r="B60" s="302"/>
      <c r="C60" s="281"/>
      <c r="D60" s="281"/>
      <c r="E60" s="281"/>
      <c r="F60" s="281"/>
      <c r="G60" s="17"/>
      <c r="H60" s="17"/>
      <c r="I60" s="17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308"/>
      <c r="B61" s="302"/>
      <c r="C61" s="281"/>
      <c r="D61" s="281"/>
      <c r="E61" s="281"/>
      <c r="F61" s="281"/>
      <c r="G61" s="17"/>
      <c r="H61" s="17"/>
      <c r="I61" s="17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308"/>
      <c r="B62" s="303"/>
      <c r="C62" s="304"/>
      <c r="D62" s="304"/>
      <c r="E62" s="304"/>
      <c r="F62" s="304"/>
      <c r="G62" s="37"/>
      <c r="H62" s="37"/>
      <c r="I62" s="37"/>
      <c r="J62" s="282"/>
      <c r="K62" s="282"/>
      <c r="L62" s="282"/>
      <c r="M62" s="282"/>
      <c r="N62" s="282"/>
      <c r="O62" s="282"/>
      <c r="P62" s="282"/>
      <c r="Q62" s="282"/>
      <c r="R62" s="282"/>
      <c r="S62" s="282"/>
      <c r="T62" s="282"/>
      <c r="U62" s="282"/>
      <c r="V62" s="282"/>
      <c r="W62" s="282"/>
      <c r="X62" s="282"/>
      <c r="Y62" s="282"/>
      <c r="Z62" s="282"/>
      <c r="AA62" s="282"/>
      <c r="AB62" s="282"/>
      <c r="AC62" s="282"/>
      <c r="AD62" s="282"/>
      <c r="AE62" s="282"/>
      <c r="AF62" s="282"/>
      <c r="AG62" s="282"/>
      <c r="AH62" s="282"/>
      <c r="AI62" s="282"/>
      <c r="AJ62" s="282"/>
      <c r="AK62" s="282"/>
      <c r="AL62" s="282"/>
      <c r="AM62" s="282"/>
      <c r="AN62" s="282"/>
      <c r="AO62" s="282"/>
      <c r="AP62" s="282"/>
      <c r="AQ62" s="282"/>
      <c r="AR62" s="282"/>
      <c r="AS62" s="282"/>
      <c r="AT62" s="282"/>
      <c r="AU62" s="282"/>
      <c r="AV62" s="282"/>
      <c r="AW62" s="282"/>
      <c r="AX62" s="282"/>
      <c r="AY62" s="282"/>
      <c r="AZ62" s="282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308"/>
      <c r="B63" s="120">
        <v>45</v>
      </c>
      <c r="C63" s="66">
        <v>-48.419830820000001</v>
      </c>
      <c r="D63" s="67">
        <v>-24.528125540000001</v>
      </c>
      <c r="E63" s="69" t="s">
        <v>900</v>
      </c>
      <c r="F63" s="65"/>
      <c r="G63" s="63" t="s">
        <v>805</v>
      </c>
      <c r="H63" s="69" t="s">
        <v>850</v>
      </c>
      <c r="I63" s="64" t="s">
        <v>560</v>
      </c>
      <c r="J63" s="68" t="s">
        <v>48</v>
      </c>
      <c r="K63" s="104">
        <v>1000</v>
      </c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 t="s">
        <v>804</v>
      </c>
      <c r="Q63" s="100">
        <f t="shared" ref="Q63:Q83" si="6">IF(COUNTA(P63)=1,$K63/1000*Q$10,"")</f>
        <v>8.7799999999999994</v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 t="s">
        <v>804</v>
      </c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65"/>
      <c r="BZ63" s="125">
        <f t="shared" ref="BZ63:BZ106" si="7">SUMIF($L63:$BX63, "x", $L$12:$BX$12)</f>
        <v>150</v>
      </c>
      <c r="CA63" s="103"/>
      <c r="CB63" s="107"/>
    </row>
    <row r="64" spans="1:80" ht="25.2" customHeight="1" thickBot="1" x14ac:dyDescent="0.3">
      <c r="A64" s="308"/>
      <c r="B64" s="120">
        <v>46</v>
      </c>
      <c r="C64" s="66">
        <v>-48.420962340000003</v>
      </c>
      <c r="D64" s="67">
        <v>-24.52682716</v>
      </c>
      <c r="E64" s="69" t="s">
        <v>901</v>
      </c>
      <c r="F64" s="65"/>
      <c r="G64" s="63" t="s">
        <v>805</v>
      </c>
      <c r="H64" s="69" t="s">
        <v>851</v>
      </c>
      <c r="I64" s="64" t="s">
        <v>560</v>
      </c>
      <c r="J64" s="68" t="s">
        <v>48</v>
      </c>
      <c r="K64" s="104">
        <v>1000</v>
      </c>
      <c r="L64" s="4"/>
      <c r="M64" s="100" t="str">
        <f t="shared" si="4"/>
        <v/>
      </c>
      <c r="N64" s="4"/>
      <c r="O64" s="101" t="str">
        <f t="shared" si="5"/>
        <v/>
      </c>
      <c r="P64" s="4" t="s">
        <v>804</v>
      </c>
      <c r="Q64" s="101">
        <f t="shared" si="6"/>
        <v>8.7799999999999994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 t="s">
        <v>804</v>
      </c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65"/>
      <c r="BZ64" s="123">
        <f t="shared" si="7"/>
        <v>150</v>
      </c>
      <c r="CA64" s="104"/>
      <c r="CB64" s="107"/>
    </row>
    <row r="65" spans="1:80" ht="25.2" customHeight="1" thickBot="1" x14ac:dyDescent="0.3">
      <c r="A65" s="308"/>
      <c r="B65" s="120">
        <v>47</v>
      </c>
      <c r="C65" s="66">
        <v>-48.145461050000002</v>
      </c>
      <c r="D65" s="67">
        <v>-24.512874490000002</v>
      </c>
      <c r="E65" s="69" t="s">
        <v>902</v>
      </c>
      <c r="F65" s="65"/>
      <c r="G65" s="63" t="s">
        <v>805</v>
      </c>
      <c r="H65" s="69" t="s">
        <v>852</v>
      </c>
      <c r="I65" s="64" t="s">
        <v>560</v>
      </c>
      <c r="J65" s="68" t="s">
        <v>48</v>
      </c>
      <c r="K65" s="104">
        <v>1000</v>
      </c>
      <c r="L65" s="4"/>
      <c r="M65" s="100" t="str">
        <f t="shared" si="4"/>
        <v/>
      </c>
      <c r="N65" s="4"/>
      <c r="O65" s="101" t="str">
        <f t="shared" si="5"/>
        <v/>
      </c>
      <c r="P65" s="4" t="s">
        <v>804</v>
      </c>
      <c r="Q65" s="101">
        <f t="shared" si="6"/>
        <v>8.7799999999999994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 t="s">
        <v>804</v>
      </c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65"/>
      <c r="BZ65" s="123">
        <f t="shared" si="7"/>
        <v>150</v>
      </c>
      <c r="CA65" s="104"/>
      <c r="CB65" s="107"/>
    </row>
    <row r="66" spans="1:80" ht="25.2" customHeight="1" thickBot="1" x14ac:dyDescent="0.3">
      <c r="A66" s="308"/>
      <c r="B66" s="120">
        <v>48</v>
      </c>
      <c r="C66" s="66">
        <v>-48.048700770000004</v>
      </c>
      <c r="D66" s="67">
        <v>-24.50633762</v>
      </c>
      <c r="E66" s="69" t="s">
        <v>903</v>
      </c>
      <c r="F66" s="65"/>
      <c r="G66" s="63" t="s">
        <v>805</v>
      </c>
      <c r="H66" s="69" t="s">
        <v>853</v>
      </c>
      <c r="I66" s="64" t="s">
        <v>560</v>
      </c>
      <c r="J66" s="68" t="s">
        <v>48</v>
      </c>
      <c r="K66" s="104">
        <v>1000</v>
      </c>
      <c r="L66" s="4"/>
      <c r="M66" s="100" t="str">
        <f t="shared" si="4"/>
        <v/>
      </c>
      <c r="N66" s="4"/>
      <c r="O66" s="101" t="str">
        <f t="shared" si="5"/>
        <v/>
      </c>
      <c r="P66" s="4" t="s">
        <v>804</v>
      </c>
      <c r="Q66" s="101">
        <f t="shared" si="6"/>
        <v>8.7799999999999994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 t="s">
        <v>804</v>
      </c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65"/>
      <c r="BZ66" s="123">
        <f t="shared" si="7"/>
        <v>150</v>
      </c>
      <c r="CA66" s="104"/>
      <c r="CB66" s="107"/>
    </row>
    <row r="67" spans="1:80" ht="25.2" customHeight="1" thickBot="1" x14ac:dyDescent="0.3">
      <c r="A67" s="308"/>
      <c r="B67" s="120">
        <v>49</v>
      </c>
      <c r="C67" s="66">
        <v>-48.168042960000001</v>
      </c>
      <c r="D67" s="67">
        <v>-24.510457550000002</v>
      </c>
      <c r="E67" s="69" t="s">
        <v>904</v>
      </c>
      <c r="F67" s="65"/>
      <c r="G67" s="63" t="s">
        <v>805</v>
      </c>
      <c r="H67" s="69" t="s">
        <v>854</v>
      </c>
      <c r="I67" s="64" t="s">
        <v>560</v>
      </c>
      <c r="J67" s="68" t="s">
        <v>48</v>
      </c>
      <c r="K67" s="104">
        <v>1000</v>
      </c>
      <c r="L67" s="4"/>
      <c r="M67" s="100" t="str">
        <f t="shared" si="4"/>
        <v/>
      </c>
      <c r="N67" s="4"/>
      <c r="O67" s="101" t="str">
        <f t="shared" si="5"/>
        <v/>
      </c>
      <c r="P67" s="4" t="s">
        <v>804</v>
      </c>
      <c r="Q67" s="101">
        <f t="shared" si="6"/>
        <v>8.7799999999999994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 t="s">
        <v>804</v>
      </c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65"/>
      <c r="BZ67" s="123">
        <f t="shared" si="7"/>
        <v>150</v>
      </c>
      <c r="CA67" s="104"/>
      <c r="CB67" s="107"/>
    </row>
    <row r="68" spans="1:80" ht="25.2" customHeight="1" thickBot="1" x14ac:dyDescent="0.3">
      <c r="A68" s="308"/>
      <c r="B68" s="120">
        <v>50</v>
      </c>
      <c r="C68" s="66">
        <v>-48.477189389999999</v>
      </c>
      <c r="D68" s="67">
        <v>-24.843146659999999</v>
      </c>
      <c r="E68" s="69" t="s">
        <v>905</v>
      </c>
      <c r="F68" s="65"/>
      <c r="G68" s="63" t="s">
        <v>805</v>
      </c>
      <c r="H68" s="69" t="s">
        <v>855</v>
      </c>
      <c r="I68" s="64" t="s">
        <v>560</v>
      </c>
      <c r="J68" s="68" t="s">
        <v>48</v>
      </c>
      <c r="K68" s="104">
        <v>1000</v>
      </c>
      <c r="L68" s="4"/>
      <c r="M68" s="100" t="str">
        <f t="shared" si="4"/>
        <v/>
      </c>
      <c r="N68" s="4"/>
      <c r="O68" s="101" t="str">
        <f t="shared" si="5"/>
        <v/>
      </c>
      <c r="P68" s="4" t="s">
        <v>804</v>
      </c>
      <c r="Q68" s="101">
        <f t="shared" si="6"/>
        <v>8.7799999999999994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 t="s">
        <v>804</v>
      </c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65"/>
      <c r="BZ68" s="123">
        <f t="shared" si="7"/>
        <v>150</v>
      </c>
      <c r="CA68" s="104"/>
      <c r="CB68" s="107"/>
    </row>
    <row r="69" spans="1:80" ht="25.2" customHeight="1" thickBot="1" x14ac:dyDescent="0.3">
      <c r="A69" s="30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65"/>
      <c r="BZ69" s="123">
        <f t="shared" si="7"/>
        <v>0</v>
      </c>
      <c r="CA69" s="104"/>
      <c r="CB69" s="107"/>
    </row>
    <row r="70" spans="1:80" ht="25.2" customHeight="1" thickBot="1" x14ac:dyDescent="0.3">
      <c r="A70" s="30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65"/>
      <c r="BZ70" s="123">
        <f t="shared" si="7"/>
        <v>0</v>
      </c>
      <c r="CA70" s="104"/>
      <c r="CB70" s="107"/>
    </row>
    <row r="71" spans="1:80" ht="25.2" customHeight="1" thickBot="1" x14ac:dyDescent="0.3">
      <c r="A71" s="30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65"/>
      <c r="BZ71" s="123">
        <f t="shared" si="7"/>
        <v>0</v>
      </c>
      <c r="CA71" s="104"/>
      <c r="CB71" s="107"/>
    </row>
    <row r="72" spans="1:80" ht="25.2" customHeight="1" thickBot="1" x14ac:dyDescent="0.3">
      <c r="A72" s="30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65"/>
      <c r="BZ72" s="123">
        <f t="shared" si="7"/>
        <v>0</v>
      </c>
      <c r="CA72" s="104"/>
      <c r="CB72" s="107"/>
    </row>
    <row r="73" spans="1:80" ht="25.2" customHeight="1" thickBot="1" x14ac:dyDescent="0.3">
      <c r="A73" s="30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65"/>
      <c r="BZ73" s="123">
        <f t="shared" si="7"/>
        <v>0</v>
      </c>
      <c r="CA73" s="104"/>
      <c r="CB73" s="107"/>
    </row>
    <row r="74" spans="1:80" ht="25.2" customHeight="1" thickBot="1" x14ac:dyDescent="0.3">
      <c r="A74" s="30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65"/>
      <c r="BZ74" s="123">
        <f t="shared" si="7"/>
        <v>0</v>
      </c>
      <c r="CA74" s="104"/>
      <c r="CB74" s="107"/>
    </row>
    <row r="75" spans="1:80" ht="25.2" customHeight="1" thickBot="1" x14ac:dyDescent="0.3">
      <c r="A75" s="30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65"/>
      <c r="BZ75" s="123">
        <f t="shared" si="7"/>
        <v>0</v>
      </c>
      <c r="CA75" s="104"/>
      <c r="CB75" s="107"/>
    </row>
    <row r="76" spans="1:80" ht="25.2" customHeight="1" thickBot="1" x14ac:dyDescent="0.3">
      <c r="A76" s="30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65"/>
      <c r="BZ76" s="123">
        <f t="shared" si="7"/>
        <v>0</v>
      </c>
      <c r="CA76" s="104"/>
      <c r="CB76" s="107"/>
    </row>
    <row r="77" spans="1:80" ht="25.2" customHeight="1" thickBot="1" x14ac:dyDescent="0.3">
      <c r="A77" s="30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65"/>
      <c r="BZ77" s="123">
        <f t="shared" si="7"/>
        <v>0</v>
      </c>
      <c r="CA77" s="104"/>
      <c r="CB77" s="107"/>
    </row>
    <row r="78" spans="1:80" ht="25.2" customHeight="1" thickBot="1" x14ac:dyDescent="0.3">
      <c r="A78" s="30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65"/>
      <c r="BZ78" s="123">
        <f t="shared" si="7"/>
        <v>0</v>
      </c>
      <c r="CA78" s="104"/>
      <c r="CB78" s="107"/>
    </row>
    <row r="79" spans="1:80" ht="25.2" customHeight="1" thickBot="1" x14ac:dyDescent="0.3">
      <c r="A79" s="30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65"/>
      <c r="BZ79" s="123">
        <f t="shared" si="7"/>
        <v>0</v>
      </c>
      <c r="CA79" s="104"/>
      <c r="CB79" s="107"/>
    </row>
    <row r="80" spans="1:80" ht="25.2" customHeight="1" thickBot="1" x14ac:dyDescent="0.3">
      <c r="A80" s="30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65"/>
      <c r="BZ80" s="123">
        <f t="shared" si="7"/>
        <v>0</v>
      </c>
      <c r="CA80" s="104"/>
      <c r="CB80" s="107"/>
    </row>
    <row r="81" spans="1:80" ht="25.2" customHeight="1" thickBot="1" x14ac:dyDescent="0.3">
      <c r="A81" s="30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65"/>
      <c r="BZ81" s="123">
        <f t="shared" si="7"/>
        <v>0</v>
      </c>
      <c r="CA81" s="104"/>
      <c r="CB81" s="107"/>
    </row>
    <row r="82" spans="1:80" ht="25.2" customHeight="1" thickBot="1" x14ac:dyDescent="0.3">
      <c r="A82" s="30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65"/>
      <c r="BZ82" s="123">
        <f t="shared" si="7"/>
        <v>0</v>
      </c>
      <c r="CA82" s="104"/>
      <c r="CB82" s="107"/>
    </row>
    <row r="83" spans="1:80" ht="25.2" customHeight="1" thickBot="1" x14ac:dyDescent="0.3">
      <c r="A83" s="30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65"/>
      <c r="BZ83" s="123">
        <f t="shared" si="7"/>
        <v>0</v>
      </c>
      <c r="CA83" s="8"/>
      <c r="CB83" s="107"/>
    </row>
    <row r="84" spans="1:80" ht="25.2" customHeight="1" thickBot="1" x14ac:dyDescent="0.3">
      <c r="A84" s="30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65"/>
      <c r="BZ84" s="123">
        <f t="shared" si="7"/>
        <v>0</v>
      </c>
      <c r="CA84" s="8"/>
      <c r="CB84" s="107"/>
    </row>
    <row r="85" spans="1:80" ht="25.2" customHeight="1" thickBot="1" x14ac:dyDescent="0.3">
      <c r="A85" s="30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65"/>
      <c r="BZ85" s="123">
        <f t="shared" si="7"/>
        <v>0</v>
      </c>
      <c r="CA85" s="8"/>
      <c r="CB85" s="107"/>
    </row>
    <row r="86" spans="1:80" ht="25.2" customHeight="1" thickBot="1" x14ac:dyDescent="0.3">
      <c r="A86" s="30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65"/>
      <c r="BZ86" s="123">
        <f t="shared" si="7"/>
        <v>0</v>
      </c>
      <c r="CA86" s="8"/>
      <c r="CB86" s="107"/>
    </row>
    <row r="87" spans="1:80" ht="25.2" customHeight="1" thickBot="1" x14ac:dyDescent="0.3">
      <c r="A87" s="30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65"/>
      <c r="BZ87" s="123">
        <f t="shared" si="7"/>
        <v>0</v>
      </c>
      <c r="CA87" s="8"/>
      <c r="CB87" s="107"/>
    </row>
    <row r="88" spans="1:80" ht="25.2" customHeight="1" thickBot="1" x14ac:dyDescent="0.3">
      <c r="A88" s="30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65"/>
      <c r="BZ88" s="123">
        <f t="shared" si="7"/>
        <v>0</v>
      </c>
      <c r="CA88" s="8"/>
      <c r="CB88" s="117"/>
    </row>
    <row r="89" spans="1:80" ht="25.2" customHeight="1" thickBot="1" x14ac:dyDescent="0.3">
      <c r="A89" s="30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65"/>
      <c r="BZ89" s="123">
        <f t="shared" si="7"/>
        <v>0</v>
      </c>
      <c r="CA89" s="8"/>
      <c r="CB89" s="117"/>
    </row>
    <row r="90" spans="1:80" ht="25.2" customHeight="1" thickBot="1" x14ac:dyDescent="0.3">
      <c r="A90" s="30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65"/>
      <c r="BZ90" s="123">
        <f t="shared" si="7"/>
        <v>0</v>
      </c>
      <c r="CA90" s="8"/>
      <c r="CB90" s="117"/>
    </row>
    <row r="91" spans="1:80" ht="25.2" customHeight="1" thickBot="1" x14ac:dyDescent="0.3">
      <c r="A91" s="30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65"/>
      <c r="BZ91" s="123">
        <f t="shared" si="7"/>
        <v>0</v>
      </c>
      <c r="CA91" s="8"/>
      <c r="CB91" s="117"/>
    </row>
    <row r="92" spans="1:80" ht="25.2" customHeight="1" thickBot="1" x14ac:dyDescent="0.3">
      <c r="A92" s="30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65"/>
      <c r="BZ92" s="123">
        <f t="shared" si="7"/>
        <v>0</v>
      </c>
      <c r="CA92" s="8"/>
      <c r="CB92" s="117"/>
    </row>
    <row r="93" spans="1:80" ht="25.2" customHeight="1" thickBot="1" x14ac:dyDescent="0.3">
      <c r="A93" s="30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65"/>
      <c r="BZ93" s="123">
        <f t="shared" si="7"/>
        <v>0</v>
      </c>
      <c r="CA93" s="8"/>
      <c r="CB93" s="117"/>
    </row>
    <row r="94" spans="1:80" ht="25.2" customHeight="1" thickBot="1" x14ac:dyDescent="0.3">
      <c r="A94" s="30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65"/>
      <c r="BZ94" s="123">
        <f t="shared" si="7"/>
        <v>0</v>
      </c>
      <c r="CA94" s="8"/>
      <c r="CB94" s="117"/>
    </row>
    <row r="95" spans="1:80" ht="25.2" customHeight="1" thickBot="1" x14ac:dyDescent="0.3">
      <c r="A95" s="30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65"/>
      <c r="BZ95" s="123">
        <f t="shared" si="7"/>
        <v>0</v>
      </c>
      <c r="CA95" s="8"/>
      <c r="CB95" s="117"/>
    </row>
    <row r="96" spans="1:80" ht="25.2" customHeight="1" thickBot="1" x14ac:dyDescent="0.3">
      <c r="A96" s="30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65"/>
      <c r="BZ96" s="123">
        <f t="shared" si="7"/>
        <v>0</v>
      </c>
      <c r="CA96" s="8"/>
      <c r="CB96" s="117"/>
    </row>
    <row r="97" spans="1:80" ht="25.2" customHeight="1" thickBot="1" x14ac:dyDescent="0.3">
      <c r="A97" s="30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65"/>
      <c r="BZ97" s="123">
        <f t="shared" si="7"/>
        <v>0</v>
      </c>
      <c r="CA97" s="8"/>
      <c r="CB97" s="117"/>
    </row>
    <row r="98" spans="1:80" ht="25.2" customHeight="1" thickBot="1" x14ac:dyDescent="0.3">
      <c r="A98" s="30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65"/>
      <c r="BZ98" s="123">
        <f t="shared" si="7"/>
        <v>0</v>
      </c>
      <c r="CA98" s="8"/>
      <c r="CB98" s="117"/>
    </row>
    <row r="99" spans="1:80" ht="25.2" customHeight="1" thickBot="1" x14ac:dyDescent="0.3">
      <c r="A99" s="30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65"/>
      <c r="BZ99" s="123">
        <f t="shared" si="7"/>
        <v>0</v>
      </c>
      <c r="CA99" s="8"/>
      <c r="CB99" s="117"/>
    </row>
    <row r="100" spans="1:80" ht="25.2" customHeight="1" thickBot="1" x14ac:dyDescent="0.3">
      <c r="A100" s="30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65"/>
      <c r="BZ100" s="123">
        <f t="shared" si="7"/>
        <v>0</v>
      </c>
      <c r="CA100" s="8"/>
      <c r="CB100" s="117"/>
    </row>
    <row r="101" spans="1:80" ht="25.2" customHeight="1" thickBot="1" x14ac:dyDescent="0.3">
      <c r="A101" s="30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65"/>
      <c r="BZ101" s="123">
        <f t="shared" si="7"/>
        <v>0</v>
      </c>
      <c r="CA101" s="8"/>
      <c r="CB101" s="117"/>
    </row>
    <row r="102" spans="1:80" ht="25.2" customHeight="1" thickBot="1" x14ac:dyDescent="0.3">
      <c r="A102" s="30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65"/>
      <c r="BZ102" s="123">
        <f t="shared" si="7"/>
        <v>0</v>
      </c>
      <c r="CA102" s="8"/>
      <c r="CB102" s="117"/>
    </row>
    <row r="103" spans="1:80" ht="25.2" customHeight="1" thickBot="1" x14ac:dyDescent="0.3">
      <c r="A103" s="30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65"/>
      <c r="BZ103" s="123">
        <f t="shared" si="7"/>
        <v>0</v>
      </c>
      <c r="CA103" s="8"/>
      <c r="CB103" s="117"/>
    </row>
    <row r="104" spans="1:80" ht="25.2" customHeight="1" thickBot="1" x14ac:dyDescent="0.3">
      <c r="A104" s="30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65"/>
      <c r="BZ104" s="123">
        <f t="shared" si="7"/>
        <v>0</v>
      </c>
      <c r="CA104" s="8"/>
      <c r="CB104" s="117"/>
    </row>
    <row r="105" spans="1:80" ht="25.2" customHeight="1" thickBot="1" x14ac:dyDescent="0.3">
      <c r="A105" s="30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65"/>
      <c r="BZ105" s="123">
        <f t="shared" si="7"/>
        <v>0</v>
      </c>
      <c r="CA105" s="8"/>
      <c r="CB105" s="117"/>
    </row>
    <row r="106" spans="1:80" ht="25.2" customHeight="1" thickBot="1" x14ac:dyDescent="0.3">
      <c r="A106" s="30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83"/>
      <c r="BZ106" s="123">
        <f t="shared" si="7"/>
        <v>0</v>
      </c>
      <c r="CA106" s="8"/>
      <c r="CB106" s="117"/>
    </row>
    <row r="107" spans="1:80" ht="25.2" customHeight="1" thickBot="1" x14ac:dyDescent="0.3">
      <c r="A107" s="308"/>
      <c r="B107" s="284" t="s">
        <v>537</v>
      </c>
      <c r="C107" s="285"/>
      <c r="D107" s="285"/>
      <c r="E107" s="285"/>
      <c r="F107" s="285"/>
      <c r="G107" s="285"/>
      <c r="H107" s="285"/>
      <c r="I107" s="285"/>
      <c r="J107" s="285"/>
      <c r="K107" s="286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50</v>
      </c>
      <c r="Q107" s="76">
        <f>COUNT(Q13:Q106)</f>
        <v>50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50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287"/>
      <c r="BZ107" s="288"/>
      <c r="CA107" s="291"/>
      <c r="CB107" s="117"/>
    </row>
    <row r="108" spans="1:80" ht="90" customHeight="1" thickBot="1" x14ac:dyDescent="0.3">
      <c r="A108" s="308"/>
      <c r="B108" s="284" t="s">
        <v>24</v>
      </c>
      <c r="C108" s="285"/>
      <c r="D108" s="285"/>
      <c r="E108" s="285"/>
      <c r="F108" s="285"/>
      <c r="G108" s="285"/>
      <c r="H108" s="285"/>
      <c r="I108" s="285"/>
      <c r="J108" s="285"/>
      <c r="K108" s="286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1492</v>
      </c>
      <c r="Q108" s="77">
        <f>SUM(Q13:Q106)</f>
        <v>438.99999999999943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5665.5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289"/>
      <c r="BZ108" s="290"/>
      <c r="CA108" s="292"/>
      <c r="CB108" s="117"/>
    </row>
    <row r="109" spans="1:80" ht="25.2" customHeight="1" thickBot="1" x14ac:dyDescent="0.35">
      <c r="A109" s="308"/>
      <c r="B109" s="284" t="s">
        <v>25</v>
      </c>
      <c r="C109" s="285"/>
      <c r="D109" s="285"/>
      <c r="E109" s="285"/>
      <c r="F109" s="285"/>
      <c r="G109" s="285"/>
      <c r="H109" s="285"/>
      <c r="I109" s="285"/>
      <c r="J109" s="285"/>
      <c r="K109" s="286"/>
      <c r="L109" s="294">
        <f>SUM(L108:BX108)</f>
        <v>7596.5</v>
      </c>
      <c r="M109" s="295"/>
      <c r="N109" s="295"/>
      <c r="O109" s="295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2"/>
      <c r="CB109" s="117"/>
    </row>
    <row r="110" spans="1:80" ht="25.2" customHeight="1" thickBot="1" x14ac:dyDescent="0.35">
      <c r="A110" s="308"/>
      <c r="B110" s="284" t="s">
        <v>538</v>
      </c>
      <c r="C110" s="285"/>
      <c r="D110" s="285"/>
      <c r="E110" s="285"/>
      <c r="F110" s="285"/>
      <c r="G110" s="285"/>
      <c r="H110" s="285"/>
      <c r="I110" s="285"/>
      <c r="J110" s="285"/>
      <c r="K110" s="286"/>
      <c r="L110" s="297">
        <f>COUNTA(H12:H106)</f>
        <v>50</v>
      </c>
      <c r="M110" s="298"/>
      <c r="N110" s="298"/>
      <c r="O110" s="298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  <c r="AP110" s="299"/>
      <c r="AQ110" s="299"/>
      <c r="AR110" s="299"/>
      <c r="AS110" s="299"/>
      <c r="AT110" s="299"/>
      <c r="AU110" s="299"/>
      <c r="AV110" s="299"/>
      <c r="AW110" s="299"/>
      <c r="AX110" s="299"/>
      <c r="AY110" s="299"/>
      <c r="AZ110" s="299"/>
      <c r="BA110" s="299"/>
      <c r="BB110" s="299"/>
      <c r="BC110" s="299"/>
      <c r="BD110" s="299"/>
      <c r="BE110" s="299"/>
      <c r="BF110" s="299"/>
      <c r="BG110" s="299"/>
      <c r="BH110" s="299"/>
      <c r="BI110" s="299"/>
      <c r="BJ110" s="299"/>
      <c r="BK110" s="299"/>
      <c r="BL110" s="299"/>
      <c r="BM110" s="299"/>
      <c r="BN110" s="299"/>
      <c r="BO110" s="299"/>
      <c r="BP110" s="299"/>
      <c r="BQ110" s="299"/>
      <c r="BR110" s="299"/>
      <c r="BS110" s="299"/>
      <c r="BT110" s="299"/>
      <c r="BU110" s="299"/>
      <c r="BV110" s="299"/>
      <c r="BW110" s="299"/>
      <c r="BX110" s="299"/>
      <c r="BY110" s="299"/>
      <c r="BZ110" s="299"/>
      <c r="CA110" s="293"/>
      <c r="CB110" s="117"/>
    </row>
    <row r="111" spans="1:80" x14ac:dyDescent="0.25">
      <c r="A111" s="281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281"/>
      <c r="Z111" s="281"/>
      <c r="AA111" s="281"/>
      <c r="AB111" s="281"/>
      <c r="AC111" s="281"/>
      <c r="AD111" s="281"/>
      <c r="AE111" s="281"/>
      <c r="AF111" s="281"/>
      <c r="AG111" s="281"/>
      <c r="AH111" s="281"/>
      <c r="AI111" s="281"/>
      <c r="AJ111" s="281"/>
      <c r="AK111" s="281"/>
      <c r="AL111" s="281"/>
      <c r="AM111" s="281"/>
      <c r="AN111" s="281"/>
      <c r="AO111" s="281"/>
      <c r="AP111" s="281"/>
      <c r="AQ111" s="281"/>
      <c r="AR111" s="281"/>
      <c r="AS111" s="281"/>
      <c r="AT111" s="281"/>
      <c r="AU111" s="281"/>
      <c r="AV111" s="281"/>
      <c r="AW111" s="281"/>
      <c r="AX111" s="281"/>
      <c r="AY111" s="281"/>
      <c r="AZ111" s="281"/>
      <c r="BA111" s="281"/>
      <c r="BB111" s="281"/>
      <c r="BC111" s="281"/>
      <c r="BD111" s="281"/>
      <c r="BE111" s="281"/>
      <c r="BF111" s="281"/>
      <c r="BG111" s="281"/>
      <c r="BH111" s="281"/>
      <c r="BI111" s="281"/>
      <c r="BJ111" s="281"/>
      <c r="BK111" s="281"/>
      <c r="BL111" s="281"/>
      <c r="BM111" s="281"/>
      <c r="BN111" s="281"/>
      <c r="BO111" s="281"/>
      <c r="BP111" s="281"/>
      <c r="BQ111" s="281"/>
      <c r="BR111" s="281"/>
      <c r="BS111" s="281"/>
      <c r="BT111" s="281"/>
      <c r="BU111" s="281"/>
      <c r="BV111" s="281"/>
      <c r="BW111" s="281"/>
      <c r="BX111" s="281"/>
      <c r="BY111" s="281"/>
      <c r="BZ111" s="281"/>
      <c r="CA111" s="281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BY13:BY56"/>
    <mergeCell ref="J58:AZ58"/>
    <mergeCell ref="J59:AZ59"/>
    <mergeCell ref="J60:AZ60"/>
    <mergeCell ref="J8:J11"/>
    <mergeCell ref="K8:K12"/>
    <mergeCell ref="L8:V8"/>
    <mergeCell ref="W8:BX8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2025-12-25T20:41:37Z</dcterms:modified>
</cp:coreProperties>
</file>